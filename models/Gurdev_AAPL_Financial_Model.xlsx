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evsingh/coursework-portfolio/models/"/>
    </mc:Choice>
  </mc:AlternateContent>
  <xr:revisionPtr revIDLastSave="0" documentId="13_ncr:1_{58594DA0-8D82-8A4E-8D35-98FFBD4DCCA7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Summary" sheetId="1" r:id="rId1"/>
    <sheet name="Assumptions" sheetId="2" r:id="rId2"/>
    <sheet name="IncomeStatement" sheetId="3" r:id="rId3"/>
    <sheet name="BalanceSheet" sheetId="4" r:id="rId4"/>
    <sheet name="CashFlow" sheetId="5" r:id="rId5"/>
    <sheet name="DCF" sheetId="6" r:id="rId6"/>
    <sheet name="Comps" sheetId="7" r:id="rId7"/>
    <sheet name="SegmentRevenue" sheetId="8" r:id="rId8"/>
    <sheet name="Earning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9" l="1"/>
  <c r="E23" i="8"/>
  <c r="D23" i="8"/>
  <c r="C23" i="8"/>
  <c r="E22" i="8"/>
  <c r="D22" i="8"/>
  <c r="C22" i="8"/>
  <c r="E21" i="8"/>
  <c r="D21" i="8"/>
  <c r="C21" i="8"/>
  <c r="E20" i="8"/>
  <c r="D20" i="8"/>
  <c r="C20" i="8"/>
  <c r="E19" i="8"/>
  <c r="D19" i="8"/>
  <c r="C19" i="8"/>
  <c r="E8" i="8"/>
  <c r="E16" i="8" s="1"/>
  <c r="D8" i="8"/>
  <c r="D16" i="8" s="1"/>
  <c r="C8" i="8"/>
  <c r="C16" i="8" s="1"/>
  <c r="B8" i="8"/>
  <c r="I8" i="7"/>
  <c r="H8" i="7"/>
  <c r="G8" i="7"/>
  <c r="F8" i="7"/>
  <c r="E8" i="7"/>
  <c r="B16" i="6"/>
  <c r="B14" i="6"/>
  <c r="B12" i="6"/>
  <c r="J11" i="5"/>
  <c r="I11" i="5"/>
  <c r="H11" i="5"/>
  <c r="G11" i="5"/>
  <c r="F11" i="5"/>
  <c r="J10" i="5"/>
  <c r="I10" i="5"/>
  <c r="H10" i="5"/>
  <c r="G10" i="5"/>
  <c r="F10" i="5"/>
  <c r="E5" i="5"/>
  <c r="D5" i="5"/>
  <c r="C5" i="5"/>
  <c r="E16" i="4"/>
  <c r="I15" i="4"/>
  <c r="J15" i="4" s="1"/>
  <c r="F15" i="4"/>
  <c r="G15" i="4" s="1"/>
  <c r="H15" i="4" s="1"/>
  <c r="E14" i="4"/>
  <c r="D14" i="4"/>
  <c r="D16" i="4" s="1"/>
  <c r="C14" i="4"/>
  <c r="C16" i="4" s="1"/>
  <c r="B14" i="4"/>
  <c r="B16" i="4" s="1"/>
  <c r="F13" i="4"/>
  <c r="G13" i="4" s="1"/>
  <c r="H13" i="4" s="1"/>
  <c r="I13" i="4" s="1"/>
  <c r="J13" i="4" s="1"/>
  <c r="F9" i="4"/>
  <c r="G9" i="4" s="1"/>
  <c r="H9" i="4" s="1"/>
  <c r="I9" i="4" s="1"/>
  <c r="J9" i="4" s="1"/>
  <c r="E7" i="4"/>
  <c r="E10" i="4" s="1"/>
  <c r="E18" i="4" s="1"/>
  <c r="D7" i="4"/>
  <c r="D10" i="4" s="1"/>
  <c r="C7" i="4"/>
  <c r="C10" i="4" s="1"/>
  <c r="C18" i="4" s="1"/>
  <c r="B7" i="4"/>
  <c r="B10" i="4" s="1"/>
  <c r="B18" i="4" s="1"/>
  <c r="F6" i="4"/>
  <c r="G6" i="4" s="1"/>
  <c r="H6" i="4" s="1"/>
  <c r="I6" i="4" s="1"/>
  <c r="J6" i="4" s="1"/>
  <c r="J17" i="3"/>
  <c r="I17" i="3"/>
  <c r="H17" i="3"/>
  <c r="G17" i="3"/>
  <c r="F17" i="3"/>
  <c r="C11" i="3"/>
  <c r="E10" i="3"/>
  <c r="D10" i="3"/>
  <c r="D13" i="3" s="1"/>
  <c r="D15" i="3" s="1"/>
  <c r="E6" i="3"/>
  <c r="E7" i="3" s="1"/>
  <c r="D6" i="3"/>
  <c r="D7" i="3" s="1"/>
  <c r="C6" i="3"/>
  <c r="C10" i="3" s="1"/>
  <c r="C13" i="3" s="1"/>
  <c r="B6" i="3"/>
  <c r="B7" i="3" s="1"/>
  <c r="E4" i="3"/>
  <c r="D4" i="3"/>
  <c r="C4" i="3"/>
  <c r="F3" i="3"/>
  <c r="B21" i="2"/>
  <c r="B25" i="2" s="1"/>
  <c r="B8" i="1"/>
  <c r="B7" i="1"/>
  <c r="C7" i="1" s="1"/>
  <c r="F5" i="6" l="1"/>
  <c r="E5" i="6"/>
  <c r="D5" i="6"/>
  <c r="B5" i="6"/>
  <c r="C5" i="6"/>
  <c r="D18" i="4"/>
  <c r="C7" i="3"/>
  <c r="C15" i="3"/>
  <c r="C16" i="3"/>
  <c r="B15" i="8"/>
  <c r="B13" i="8"/>
  <c r="B9" i="8"/>
  <c r="F4" i="4"/>
  <c r="F4" i="5"/>
  <c r="F12" i="4"/>
  <c r="F14" i="4" s="1"/>
  <c r="F16" i="4" s="1"/>
  <c r="F5" i="3"/>
  <c r="F6" i="3" s="1"/>
  <c r="D11" i="3"/>
  <c r="D16" i="3"/>
  <c r="G3" i="3"/>
  <c r="E13" i="3"/>
  <c r="E11" i="3"/>
  <c r="F8" i="3"/>
  <c r="F5" i="4"/>
  <c r="B12" i="8"/>
  <c r="F4" i="3"/>
  <c r="F9" i="3"/>
  <c r="B14" i="8"/>
  <c r="F8" i="5"/>
  <c r="B16" i="8"/>
  <c r="B10" i="7"/>
  <c r="C13" i="8"/>
  <c r="B10" i="3"/>
  <c r="D9" i="8"/>
  <c r="D13" i="8"/>
  <c r="D15" i="8"/>
  <c r="C9" i="8"/>
  <c r="C15" i="8"/>
  <c r="E9" i="8"/>
  <c r="E13" i="8"/>
  <c r="E15" i="8"/>
  <c r="C12" i="8"/>
  <c r="C14" i="8"/>
  <c r="D12" i="8"/>
  <c r="D14" i="8"/>
  <c r="E12" i="8"/>
  <c r="E14" i="8"/>
  <c r="F8" i="4" l="1"/>
  <c r="F10" i="3"/>
  <c r="F7" i="3"/>
  <c r="E16" i="3"/>
  <c r="E15" i="3"/>
  <c r="D3" i="5"/>
  <c r="D7" i="5" s="1"/>
  <c r="D9" i="5" s="1"/>
  <c r="D12" i="5" s="1"/>
  <c r="D18" i="3"/>
  <c r="F5" i="5"/>
  <c r="G9" i="3"/>
  <c r="H3" i="3"/>
  <c r="G4" i="5"/>
  <c r="G12" i="4"/>
  <c r="G14" i="4" s="1"/>
  <c r="G16" i="4" s="1"/>
  <c r="G5" i="3"/>
  <c r="G6" i="3" s="1"/>
  <c r="G8" i="5"/>
  <c r="G8" i="4" s="1"/>
  <c r="G8" i="3"/>
  <c r="G4" i="3"/>
  <c r="G5" i="4"/>
  <c r="G4" i="4"/>
  <c r="B11" i="3"/>
  <c r="B13" i="3"/>
  <c r="C3" i="5"/>
  <c r="C7" i="5" s="1"/>
  <c r="C9" i="5" s="1"/>
  <c r="C12" i="5" s="1"/>
  <c r="C18" i="3"/>
  <c r="G10" i="3" l="1"/>
  <c r="G7" i="3"/>
  <c r="B16" i="3"/>
  <c r="B15" i="3"/>
  <c r="G5" i="5"/>
  <c r="I3" i="7"/>
  <c r="E18" i="3"/>
  <c r="E3" i="5"/>
  <c r="E7" i="5" s="1"/>
  <c r="E9" i="5" s="1"/>
  <c r="E12" i="5" s="1"/>
  <c r="H9" i="3"/>
  <c r="I3" i="3"/>
  <c r="H5" i="4"/>
  <c r="H4" i="3"/>
  <c r="H5" i="3"/>
  <c r="H6" i="3" s="1"/>
  <c r="H4" i="4"/>
  <c r="H5" i="5" s="1"/>
  <c r="H8" i="5"/>
  <c r="H8" i="4" s="1"/>
  <c r="H8" i="3"/>
  <c r="H4" i="5"/>
  <c r="H12" i="4"/>
  <c r="H14" i="4" s="1"/>
  <c r="H16" i="4" s="1"/>
  <c r="F11" i="3"/>
  <c r="F13" i="3"/>
  <c r="H7" i="3" l="1"/>
  <c r="H10" i="3"/>
  <c r="F14" i="3"/>
  <c r="F15" i="3" s="1"/>
  <c r="B3" i="5"/>
  <c r="B7" i="5" s="1"/>
  <c r="B9" i="5" s="1"/>
  <c r="B12" i="5" s="1"/>
  <c r="B18" i="3"/>
  <c r="I5" i="4"/>
  <c r="I4" i="3"/>
  <c r="I4" i="5"/>
  <c r="I8" i="5"/>
  <c r="I8" i="3"/>
  <c r="I4" i="4"/>
  <c r="I9" i="3"/>
  <c r="I5" i="3"/>
  <c r="I6" i="3"/>
  <c r="I12" i="4"/>
  <c r="I14" i="4" s="1"/>
  <c r="I16" i="4" s="1"/>
  <c r="J3" i="3"/>
  <c r="G13" i="3"/>
  <c r="G11" i="3"/>
  <c r="I8" i="4" l="1"/>
  <c r="I7" i="3"/>
  <c r="I10" i="3"/>
  <c r="I5" i="5"/>
  <c r="F16" i="3"/>
  <c r="G14" i="3"/>
  <c r="G15" i="3" s="1"/>
  <c r="G16" i="3"/>
  <c r="H13" i="3"/>
  <c r="H11" i="3"/>
  <c r="J4" i="5"/>
  <c r="J12" i="4"/>
  <c r="J14" i="4" s="1"/>
  <c r="J16" i="4" s="1"/>
  <c r="J6" i="3"/>
  <c r="J4" i="4"/>
  <c r="J9" i="3"/>
  <c r="J5" i="4"/>
  <c r="J8" i="3"/>
  <c r="J5" i="3"/>
  <c r="J8" i="5"/>
  <c r="J8" i="4" s="1"/>
  <c r="J4" i="3"/>
  <c r="H14" i="3" l="1"/>
  <c r="H15" i="3" s="1"/>
  <c r="J5" i="5"/>
  <c r="J7" i="3"/>
  <c r="J10" i="3"/>
  <c r="G3" i="5"/>
  <c r="G7" i="5" s="1"/>
  <c r="G9" i="5" s="1"/>
  <c r="G18" i="3"/>
  <c r="F3" i="5"/>
  <c r="F18" i="3"/>
  <c r="B11" i="7" s="1"/>
  <c r="B12" i="7" s="1"/>
  <c r="B6" i="1" s="1"/>
  <c r="C6" i="1" s="1"/>
  <c r="I13" i="3"/>
  <c r="I11" i="3"/>
  <c r="H16" i="3" l="1"/>
  <c r="H18" i="3" s="1"/>
  <c r="G12" i="5"/>
  <c r="C3" i="6"/>
  <c r="C6" i="6" s="1"/>
  <c r="F7" i="5"/>
  <c r="F9" i="5" s="1"/>
  <c r="F17" i="4"/>
  <c r="G17" i="4" s="1"/>
  <c r="J11" i="3"/>
  <c r="J13" i="3"/>
  <c r="I14" i="3"/>
  <c r="I15" i="3" s="1"/>
  <c r="H3" i="5"/>
  <c r="H7" i="5" s="1"/>
  <c r="H9" i="5" s="1"/>
  <c r="H17" i="4" l="1"/>
  <c r="I16" i="3"/>
  <c r="J14" i="3"/>
  <c r="J15" i="3" s="1"/>
  <c r="B3" i="6"/>
  <c r="B6" i="6" s="1"/>
  <c r="F12" i="5"/>
  <c r="F3" i="4" s="1"/>
  <c r="H12" i="5"/>
  <c r="D3" i="6"/>
  <c r="D6" i="6" s="1"/>
  <c r="G3" i="4" l="1"/>
  <c r="F7" i="4"/>
  <c r="F10" i="4" s="1"/>
  <c r="F18" i="4" s="1"/>
  <c r="J16" i="3"/>
  <c r="I3" i="5"/>
  <c r="I18" i="3"/>
  <c r="I7" i="5" l="1"/>
  <c r="I9" i="5" s="1"/>
  <c r="I17" i="4"/>
  <c r="J3" i="5"/>
  <c r="J7" i="5" s="1"/>
  <c r="J9" i="5" s="1"/>
  <c r="J18" i="3"/>
  <c r="G7" i="4"/>
  <c r="G10" i="4" s="1"/>
  <c r="G18" i="4" s="1"/>
  <c r="H3" i="4"/>
  <c r="J17" i="4" l="1"/>
  <c r="H7" i="4"/>
  <c r="H10" i="4" s="1"/>
  <c r="H18" i="4" s="1"/>
  <c r="F3" i="6"/>
  <c r="J12" i="5"/>
  <c r="I12" i="5"/>
  <c r="I3" i="4" s="1"/>
  <c r="E3" i="6"/>
  <c r="E6" i="6" s="1"/>
  <c r="J3" i="4" l="1"/>
  <c r="J7" i="4" s="1"/>
  <c r="J10" i="4" s="1"/>
  <c r="J18" i="4" s="1"/>
  <c r="I7" i="4"/>
  <c r="I10" i="4" s="1"/>
  <c r="I18" i="4" s="1"/>
  <c r="D26" i="6"/>
  <c r="F24" i="6"/>
  <c r="C23" i="6"/>
  <c r="F6" i="6"/>
  <c r="B8" i="6" s="1"/>
  <c r="C26" i="6"/>
  <c r="E24" i="6"/>
  <c r="G22" i="6"/>
  <c r="G25" i="6"/>
  <c r="D24" i="6"/>
  <c r="F22" i="6"/>
  <c r="E25" i="6"/>
  <c r="G23" i="6"/>
  <c r="D22" i="6"/>
  <c r="F26" i="6"/>
  <c r="E23" i="6"/>
  <c r="G26" i="6"/>
  <c r="D25" i="6"/>
  <c r="F23" i="6"/>
  <c r="C22" i="6"/>
  <c r="C25" i="6"/>
  <c r="B9" i="6"/>
  <c r="B10" i="6" s="1"/>
  <c r="E26" i="6"/>
  <c r="G24" i="6"/>
  <c r="D23" i="6"/>
  <c r="F25" i="6"/>
  <c r="C24" i="6"/>
  <c r="E22" i="6"/>
  <c r="B11" i="6" l="1"/>
  <c r="B13" i="6" s="1"/>
  <c r="B15" i="6" s="1"/>
  <c r="B17" i="6"/>
  <c r="B5" i="1"/>
  <c r="C5" i="1" l="1"/>
  <c r="C10" i="1"/>
  <c r="B10" i="1"/>
</calcChain>
</file>

<file path=xl/sharedStrings.xml><?xml version="1.0" encoding="utf-8"?>
<sst xmlns="http://schemas.openxmlformats.org/spreadsheetml/2006/main" count="259" uniqueCount="212">
  <si>
    <t>Apple Inc. (AAPL) — Valuation Summary</t>
  </si>
  <si>
    <t>Prepared 2026-07-19 · all data via Yahoo Finance · $ in billions unless per-share</t>
  </si>
  <si>
    <t>Valuation by method</t>
  </si>
  <si>
    <t>Value/share</t>
  </si>
  <si>
    <t>vs current</t>
  </si>
  <si>
    <t>DCF (Gordon growth)</t>
  </si>
  <si>
    <t>Peer-median forward P/E</t>
  </si>
  <si>
    <t>Analyst mean target</t>
  </si>
  <si>
    <t>Current market price</t>
  </si>
  <si>
    <t>Model valuation range</t>
  </si>
  <si>
    <t>Reading the gap</t>
  </si>
  <si>
    <t>All three methods land below the current price: the market is paying a large premium to both an</t>
  </si>
  <si>
    <t>intrinsic-cash-flow view and to peer multiples (AAPL trades ~40x trailing vs peer median ~25x).</t>
  </si>
  <si>
    <t>That premium is the bet: it requires either a step-change in growth (AI supercycle, services</t>
  </si>
  <si>
    <t>acceleration like the +16.6% Mar-2026 quarter continuing) or sustained multiple expansion.</t>
  </si>
  <si>
    <t>Bull case</t>
  </si>
  <si>
    <t>Revenue re-acceleration holds high-single/low-double digits; margins keep inching up on services;</t>
  </si>
  <si>
    <t>buybacks shrink the share count ~3%/yr (not modeled — upside to per-share figures).</t>
  </si>
  <si>
    <t>Bear case</t>
  </si>
  <si>
    <t>Growth mean-reverts to FY23-25 trend (0-6%); multiple compresses toward peers; DCF (~B5) becomes the anchor.</t>
  </si>
  <si>
    <t>The 3 assumptions this valuation is most sensitive to</t>
  </si>
  <si>
    <t>1. WACC — each 0.5pt move shifts DCF value roughly 10-15% (see DCF sensitivity grid).</t>
  </si>
  <si>
    <t>2. Terminal growth — 2% vs 4% spans a wide range of the DCF value; check DCF!C22:G26.</t>
  </si>
  <si>
    <t>3. Revenue growth path — the FY2026E rate compounds through every later year (Assumptions!B4:F4).</t>
  </si>
  <si>
    <t>This is an educational model, not investment advice.</t>
  </si>
  <si>
    <t>AAPL — Model Assumptions</t>
  </si>
  <si>
    <t>Blue = hardcoded input (edit these). Yellow = key value drivers. All $ in billions.</t>
  </si>
  <si>
    <t>FY2026E</t>
  </si>
  <si>
    <t>FY2027E</t>
  </si>
  <si>
    <t>FY2028E</t>
  </si>
  <si>
    <t>FY2029E</t>
  </si>
  <si>
    <t>FY2030E</t>
  </si>
  <si>
    <t>Revenue growth %</t>
  </si>
  <si>
    <t>FY25 grew 6.4%; last two quarters ran +16.6% YoY — base case tapers from 8%</t>
  </si>
  <si>
    <t>Gross margin %</t>
  </si>
  <si>
    <t>FY25 actual 46.9%; slight services-mix-driven expansion</t>
  </si>
  <si>
    <t>R&amp;D % of revenue</t>
  </si>
  <si>
    <t>FY25 actual 8.3%</t>
  </si>
  <si>
    <t>SG&amp;A % of revenue</t>
  </si>
  <si>
    <t>FY25 actual 6.6%</t>
  </si>
  <si>
    <t>Tax rate</t>
  </si>
  <si>
    <t>FY25 effective rate 15.6% (FY24's 24% was a one-off EU state-aid charge)</t>
  </si>
  <si>
    <t>D&amp;A % of revenue</t>
  </si>
  <si>
    <t>FY25 actual 2.8%</t>
  </si>
  <si>
    <t>Capex % of revenue</t>
  </si>
  <si>
    <t>FY25 actual 3.1%</t>
  </si>
  <si>
    <t>Receivables % of revenue</t>
  </si>
  <si>
    <t>FY25 actual 9.6%</t>
  </si>
  <si>
    <t>Inventory % of revenue</t>
  </si>
  <si>
    <t>FY25 actual 1.4%</t>
  </si>
  <si>
    <t>Payables % of revenue</t>
  </si>
  <si>
    <t>FY25 actual 16.8%</t>
  </si>
  <si>
    <t>Share repurchases ($bn)</t>
  </si>
  <si>
    <t>FY22-25 average ~$88bn/yr</t>
  </si>
  <si>
    <t>Dividends ($bn)</t>
  </si>
  <si>
    <t>FY25 $15.4bn, grown ~2%/yr</t>
  </si>
  <si>
    <t>WACC (CAPM)</t>
  </si>
  <si>
    <t>Risk-free rate (US 10Y)</t>
  </si>
  <si>
    <t>Yahoo Finance ^TNX close, 2026-07-18</t>
  </si>
  <si>
    <t>Beta</t>
  </si>
  <si>
    <t>Yahoo Finance 5Y monthly beta</t>
  </si>
  <si>
    <t>Equity risk premium</t>
  </si>
  <si>
    <t>Standard 4.5% assumption (Damodaran-range)</t>
  </si>
  <si>
    <t>Cost of equity</t>
  </si>
  <si>
    <t>CAPM: rf + beta x ERP</t>
  </si>
  <si>
    <t>Pre-tax cost of debt</t>
  </si>
  <si>
    <t>Approx. AAPL long-bond yield; user-adjustable</t>
  </si>
  <si>
    <t>Market cap ($bn)</t>
  </si>
  <si>
    <t>Yahoo Finance, 2026-07-18</t>
  </si>
  <si>
    <t>Total debt ($bn)</t>
  </si>
  <si>
    <t>Most recent quarter, Yahoo Finance</t>
  </si>
  <si>
    <t>WACC</t>
  </si>
  <si>
    <t>Market-value weighted</t>
  </si>
  <si>
    <t>Terminal growth rate</t>
  </si>
  <si>
    <t>Long-run nominal GDP-ish growth</t>
  </si>
  <si>
    <t>Market data</t>
  </si>
  <si>
    <t>Current share price</t>
  </si>
  <si>
    <t>Yahoo Finance close, 2026-07-18</t>
  </si>
  <si>
    <t>Diluted shares (bn)</t>
  </si>
  <si>
    <t>Yahoo Finance shares outstanding; held flat in projections (conservative — ignores buyback shrink)</t>
  </si>
  <si>
    <t>Net debt ($bn)</t>
  </si>
  <si>
    <t>Total debt less total cash, most recent quarter</t>
  </si>
  <si>
    <t>Yahoo Finance consensus</t>
  </si>
  <si>
    <t>Source: Yahoo Finance API pull 2026-07-19. Fiscal years end late September.</t>
  </si>
  <si>
    <t>AAPL — Income Statement ($bn)</t>
  </si>
  <si>
    <t>FY2022</t>
  </si>
  <si>
    <t>FY2023</t>
  </si>
  <si>
    <t>FY2024</t>
  </si>
  <si>
    <t>FY2025</t>
  </si>
  <si>
    <t>Revenue</t>
  </si>
  <si>
    <t xml:space="preserve">  growth %</t>
  </si>
  <si>
    <t>Cost of revenue</t>
  </si>
  <si>
    <t>Gross profit</t>
  </si>
  <si>
    <t xml:space="preserve">  gross margin %</t>
  </si>
  <si>
    <t>Research &amp; development</t>
  </si>
  <si>
    <t>Selling, general &amp; admin</t>
  </si>
  <si>
    <t>Operating income (EBIT)</t>
  </si>
  <si>
    <t xml:space="preserve">  EBIT margin %</t>
  </si>
  <si>
    <t>Other income/(expense)</t>
  </si>
  <si>
    <t>Pretax income</t>
  </si>
  <si>
    <t>Income tax</t>
  </si>
  <si>
    <t xml:space="preserve">  effective tax rate</t>
  </si>
  <si>
    <t>Net income</t>
  </si>
  <si>
    <t>Diluted EPS</t>
  </si>
  <si>
    <t>Historical figures: Apple 10-K filings via Yahoo Finance. Projections driven by Assumptions tab.</t>
  </si>
  <si>
    <t>AAPL — Balance Sheet, simplified ($bn)</t>
  </si>
  <si>
    <t>Cash &amp; investments</t>
  </si>
  <si>
    <t>Accounts receivable</t>
  </si>
  <si>
    <t>Inventory</t>
  </si>
  <si>
    <t>Other current assets</t>
  </si>
  <si>
    <t>Total current assets</t>
  </si>
  <si>
    <t>Net PP&amp;E</t>
  </si>
  <si>
    <t>Other non-current assets</t>
  </si>
  <si>
    <t>Total assets</t>
  </si>
  <si>
    <t>Accounts payable</t>
  </si>
  <si>
    <t>Other current liabilities</t>
  </si>
  <si>
    <t>Total current liabilities</t>
  </si>
  <si>
    <t>Non-current liabilities</t>
  </si>
  <si>
    <t>Total liabilities</t>
  </si>
  <si>
    <t>Stockholders' equity</t>
  </si>
  <si>
    <t>Balance check (must be 0)</t>
  </si>
  <si>
    <t>Simplified: 'other' asset/liability lines held at FY2025 levels through the projection. Debt inside non-current liabilities.</t>
  </si>
  <si>
    <t>AAPL — Cash Flow ($bn)</t>
  </si>
  <si>
    <t>D&amp;A</t>
  </si>
  <si>
    <t>(Incr)/decr in working capital</t>
  </si>
  <si>
    <t>Other operating items</t>
  </si>
  <si>
    <t>Operating cash flow</t>
  </si>
  <si>
    <t>Capital expenditure</t>
  </si>
  <si>
    <t>Free cash flow</t>
  </si>
  <si>
    <t>Share repurchases</t>
  </si>
  <si>
    <t>Dividends paid</t>
  </si>
  <si>
    <t>Net cash generated</t>
  </si>
  <si>
    <t>FY2022 working-capital move sits inside 'Other operating items' (no FY2021 balance sheet in the data pull).</t>
  </si>
  <si>
    <t>AAPL — Discounted Cash Flow</t>
  </si>
  <si>
    <t>Free cash flow ($bn)</t>
  </si>
  <si>
    <t>Discount period</t>
  </si>
  <si>
    <t>Discount factor</t>
  </si>
  <si>
    <t>PV of FCF</t>
  </si>
  <si>
    <t>Sum PV of FCFs ($bn)</t>
  </si>
  <si>
    <t>Terminal value ($bn)</t>
  </si>
  <si>
    <t>PV of terminal value ($bn)</t>
  </si>
  <si>
    <t>Enterprise value ($bn)</t>
  </si>
  <si>
    <t>Less: net debt ($bn)</t>
  </si>
  <si>
    <t>Equity value ($bn)</t>
  </si>
  <si>
    <t>DCF value per share</t>
  </si>
  <si>
    <t>Upside / (downside)</t>
  </si>
  <si>
    <t>Sensitivity — value per share: WACC (rows) vs terminal growth (cols)</t>
  </si>
  <si>
    <t>Gordon-growth terminal value. Base WACC and terminal growth set on Assumptions tab.</t>
  </si>
  <si>
    <t>AAPL — Trading Comparables</t>
  </si>
  <si>
    <t>Company</t>
  </si>
  <si>
    <t>Price</t>
  </si>
  <si>
    <t>Mkt cap ($bn)</t>
  </si>
  <si>
    <t>EV ($bn)</t>
  </si>
  <si>
    <t>P/E (TTM)</t>
  </si>
  <si>
    <t>P/E (fwd)</t>
  </si>
  <si>
    <t>EV/EBITDA</t>
  </si>
  <si>
    <t>Rev growth</t>
  </si>
  <si>
    <t>Net margin</t>
  </si>
  <si>
    <t>Apple (AAPL)</t>
  </si>
  <si>
    <t>Microsoft Corporation (MSFT)</t>
  </si>
  <si>
    <t>Alphabet Inc. (GOOGL)</t>
  </si>
  <si>
    <t>NVIDIA Corporation (NVDA)</t>
  </si>
  <si>
    <t>Meta Platforms, Inc. (META)</t>
  </si>
  <si>
    <t>Peer median (ex-AAPL)</t>
  </si>
  <si>
    <t>AAPL premium to peer median (fwd P/E)</t>
  </si>
  <si>
    <t>AAPL FY2026E EPS</t>
  </si>
  <si>
    <t>Implied value at peer-median fwd P/E</t>
  </si>
  <si>
    <t>Peer multiples: Yahoo Finance, 2026-07-18. Peer set: MSFT, GOOGL, NVDA, META (mega-cap tech).</t>
  </si>
  <si>
    <t>AAPL — Revenue by Product Category ($bn)</t>
  </si>
  <si>
    <t>iPhone</t>
  </si>
  <si>
    <t>Mac</t>
  </si>
  <si>
    <t>iPad</t>
  </si>
  <si>
    <t>Wearables, Home &amp; Accessories</t>
  </si>
  <si>
    <t>Services</t>
  </si>
  <si>
    <t>Total net sales</t>
  </si>
  <si>
    <t>Tie to Income Statement (must be ~0)</t>
  </si>
  <si>
    <t>Revenue mix (% of total)</t>
  </si>
  <si>
    <t>Growth YoY</t>
  </si>
  <si>
    <t>Subscriptions — what Apple actually discloses</t>
  </si>
  <si>
    <t>Apple does NOT report subscription revenue as a separate line. The closest disclosed figure is the</t>
  </si>
  <si>
    <t>Services segment: $109.2bn in FY2025 (26.2% of revenue), first year above $100bn, growing ~14%/yr.</t>
  </si>
  <si>
    <t>Services bundles subscriptions (iCloud, Apple Music, TV+, Arcade, News+, Fitness+, AppleCare plans,</t>
  </si>
  <si>
    <t>third-party app subscriptions sold via App Store) together with App Store commissions, advertising,</t>
  </si>
  <si>
    <t>and payment services - so Services revenue overstates pure subscription revenue.</t>
  </si>
  <si>
    <t>Scale disclosure: Apple reports 'more than 1 billion' cumulative paid subscriptions across its</t>
  </si>
  <si>
    <t>platforms (crossed in Jan 2025; more than doubled over four years).</t>
  </si>
  <si>
    <t>Services carried a ~74% gross margin in recent years vs ~37% for products - the mix shift toward</t>
  </si>
  <si>
    <t>Services is the main driver of total gross margin rising from 43.3% (FY22) to 46.9% (FY25).</t>
  </si>
  <si>
    <t>Sources: Apple Form 10-K FY2025 (SEC EDGAR, aapl-20250927) and FY2023 10-K for FY2022 figures; Apple press disclosures for subscription counts.</t>
  </si>
  <si>
    <t>AAPL — Earnings Review</t>
  </si>
  <si>
    <t>Last four reported quarters</t>
  </si>
  <si>
    <t>Quarter (cal.)</t>
  </si>
  <si>
    <t>EPS estimate</t>
  </si>
  <si>
    <t>EPS actual</t>
  </si>
  <si>
    <t>Surprise</t>
  </si>
  <si>
    <t>Jun 2025 (FQ3'25)</t>
  </si>
  <si>
    <t>Sep 2025 (FQ4'25)</t>
  </si>
  <si>
    <t>Dec 2025 (FQ1'26)</t>
  </si>
  <si>
    <t>Mar 2026 (FQ2'26)</t>
  </si>
  <si>
    <t>Latest quarter (Mar 2026) revenue ($bn)</t>
  </si>
  <si>
    <t>Year-ago quarter (Mar 2025) revenue ($bn)</t>
  </si>
  <si>
    <t>Revenue growth YoY</t>
  </si>
  <si>
    <t>Next earnings date</t>
  </si>
  <si>
    <t>Jul 30, 2026</t>
  </si>
  <si>
    <t>Street EPS estimate for FQ3'26</t>
  </si>
  <si>
    <t>Key takeaways</t>
  </si>
  <si>
    <t>1. Four consecutive EPS beats; the Dec-2025 quarter beat by 6.3% and set a revenue record ($143.8bn).</t>
  </si>
  <si>
    <t>2. Growth has re-accelerated: Mar-2026 quarter revenue up 16.6% YoY vs +6.4% for all of FY2025.</t>
  </si>
  <si>
    <t>3. FY2025 gross margin reached 46.9% (up from 43.3% in FY2022) on services mix shift.</t>
  </si>
  <si>
    <t>4. Street remains constructive (consensus 'buy') but the mean target sits below the current price,</t>
  </si>
  <si>
    <t xml:space="preserve">   implying the market is pricing more growth than the average analyst model.</t>
  </si>
  <si>
    <t>EPS history: Yahoo Finance earnings data. Quarterly revenue: Yahoo Finance quarterly income statement.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</si>
</sst>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0.00"/>
    <numFmt numFmtId="165" formatCode="0.0%"/>
    <numFmt numFmtId="166" formatCode="\$#,##0.0;\(\$#,##0.0\);\-"/>
    <numFmt numFmtId="167" formatCode="0.000"/>
    <numFmt numFmtId="168" formatCode="0.0\x"/>
  </numFmts>
  <fonts count="13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i/>
      <sz val="9"/>
      <color rgb="FF80808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10"/>
      <color rgb="FF008000"/>
      <name val="Arial"/>
      <family val="2"/>
    </font>
    <font>
      <b/>
      <sz val="14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i/>
      <sz val="9"/>
      <color rgb="FF808080"/>
      <name val="Arial"/>
    </font>
  </fonts>
  <fills count="5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F00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5" fillId="0" borderId="0" xfId="0" applyFont="1"/>
    <xf numFmtId="164" fontId="6" fillId="0" borderId="0" xfId="0" applyNumberFormat="1" applyFont="1"/>
    <xf numFmtId="165" fontId="5" fillId="0" borderId="0" xfId="0" applyNumberFormat="1" applyFont="1"/>
    <xf numFmtId="0" fontId="3" fillId="0" borderId="0" xfId="0" applyFont="1"/>
    <xf numFmtId="164" fontId="5" fillId="0" borderId="0" xfId="0" applyNumberFormat="1" applyFont="1"/>
    <xf numFmtId="0" fontId="3" fillId="2" borderId="0" xfId="0" applyFont="1" applyFill="1" applyAlignment="1">
      <alignment horizontal="center"/>
    </xf>
    <xf numFmtId="165" fontId="4" fillId="3" borderId="0" xfId="0" applyNumberFormat="1" applyFont="1" applyFill="1"/>
    <xf numFmtId="165" fontId="4" fillId="0" borderId="0" xfId="0" applyNumberFormat="1" applyFont="1"/>
    <xf numFmtId="166" fontId="4" fillId="0" borderId="0" xfId="0" applyNumberFormat="1" applyFont="1"/>
    <xf numFmtId="2" fontId="4" fillId="3" borderId="0" xfId="0" applyNumberFormat="1" applyFont="1" applyFill="1"/>
    <xf numFmtId="164" fontId="4" fillId="0" borderId="0" xfId="0" applyNumberFormat="1" applyFont="1"/>
    <xf numFmtId="167" fontId="4" fillId="0" borderId="0" xfId="0" applyNumberFormat="1" applyFont="1"/>
    <xf numFmtId="166" fontId="5" fillId="0" borderId="0" xfId="0" applyNumberFormat="1" applyFont="1"/>
    <xf numFmtId="166" fontId="5" fillId="0" borderId="1" xfId="0" applyNumberFormat="1" applyFont="1" applyBorder="1"/>
    <xf numFmtId="2" fontId="4" fillId="0" borderId="0" xfId="0" applyNumberFormat="1" applyFont="1"/>
    <xf numFmtId="2" fontId="6" fillId="0" borderId="0" xfId="0" applyNumberFormat="1" applyFont="1"/>
    <xf numFmtId="166" fontId="6" fillId="0" borderId="0" xfId="0" applyNumberFormat="1" applyFont="1"/>
    <xf numFmtId="1" fontId="5" fillId="0" borderId="0" xfId="0" applyNumberFormat="1" applyFont="1"/>
    <xf numFmtId="167" fontId="5" fillId="0" borderId="0" xfId="0" applyNumberFormat="1" applyFont="1"/>
    <xf numFmtId="167" fontId="6" fillId="0" borderId="0" xfId="0" applyNumberFormat="1" applyFont="1"/>
    <xf numFmtId="165" fontId="4" fillId="2" borderId="0" xfId="0" applyNumberFormat="1" applyFont="1" applyFill="1"/>
    <xf numFmtId="168" fontId="4" fillId="0" borderId="0" xfId="0" applyNumberFormat="1" applyFont="1"/>
    <xf numFmtId="165" fontId="6" fillId="0" borderId="0" xfId="0" applyNumberFormat="1" applyFont="1"/>
    <xf numFmtId="168" fontId="5" fillId="0" borderId="0" xfId="0" applyNumberFormat="1" applyFont="1"/>
    <xf numFmtId="0" fontId="4" fillId="0" borderId="0" xfId="0" applyFont="1"/>
    <xf numFmtId="0" fontId="7" fillId="0" borderId="0" xfId="0" applyFont="1"/>
    <xf numFmtId="0" fontId="8" fillId="4" borderId="0" xfId="0" applyFont="1" applyFill="1" applyAlignment="1">
      <alignment horizontal="center"/>
    </xf>
    <xf numFmtId="0" fontId="9" fillId="0" borderId="0" xfId="0" applyFont="1"/>
    <xf numFmtId="166" fontId="10" fillId="0" borderId="0" xfId="0" applyNumberFormat="1" applyFont="1"/>
    <xf numFmtId="0" fontId="8" fillId="0" borderId="0" xfId="0" applyFont="1"/>
    <xf numFmtId="166" fontId="8" fillId="0" borderId="0" xfId="0" applyNumberFormat="1" applyFont="1"/>
    <xf numFmtId="166" fontId="11" fillId="0" borderId="0" xfId="0" applyNumberFormat="1" applyFont="1"/>
    <xf numFmtId="0" fontId="8" fillId="4" borderId="0" xfId="0" applyFont="1" applyFill="1"/>
    <xf numFmtId="165" fontId="9" fillId="0" borderId="0" xfId="0" applyNumberFormat="1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showGridLines="0" tabSelected="1" workbookViewId="0"/>
  </sheetViews>
  <sheetFormatPr baseColWidth="10" defaultColWidth="8.83203125" defaultRowHeight="15" x14ac:dyDescent="0.2"/>
  <cols>
    <col min="1" max="1" width="46" customWidth="1"/>
    <col min="2" max="10" width="11.5" customWidth="1"/>
  </cols>
  <sheetData>
    <row r="1" spans="1:3" ht="18" customHeight="1" x14ac:dyDescent="0.2">
      <c r="A1" s="1" t="s">
        <v>0</v>
      </c>
    </row>
    <row r="2" spans="1:3" x14ac:dyDescent="0.2">
      <c r="A2" s="2" t="s">
        <v>1</v>
      </c>
    </row>
    <row r="4" spans="1:3" x14ac:dyDescent="0.2">
      <c r="A4" s="3" t="s">
        <v>2</v>
      </c>
      <c r="B4" s="3" t="s">
        <v>3</v>
      </c>
      <c r="C4" s="3" t="s">
        <v>4</v>
      </c>
    </row>
    <row r="5" spans="1:3" x14ac:dyDescent="0.2">
      <c r="A5" s="4" t="s">
        <v>5</v>
      </c>
      <c r="B5" s="5">
        <f>DCF!B15</f>
        <v>142.04751568895975</v>
      </c>
      <c r="C5" s="6">
        <f>B5/$B$8-1</f>
        <v>-0.57437671334284257</v>
      </c>
    </row>
    <row r="6" spans="1:3" x14ac:dyDescent="0.2">
      <c r="A6" s="4" t="s">
        <v>6</v>
      </c>
      <c r="B6" s="5">
        <f>Comps!B12</f>
        <v>157.19194726612653</v>
      </c>
      <c r="C6" s="6">
        <f>B6/$B$8-1</f>
        <v>-0.5289987796903981</v>
      </c>
    </row>
    <row r="7" spans="1:3" x14ac:dyDescent="0.2">
      <c r="A7" s="4" t="s">
        <v>7</v>
      </c>
      <c r="B7" s="5">
        <f>Assumptions!B32</f>
        <v>318.25</v>
      </c>
      <c r="C7" s="6">
        <f>B7/$B$8-1</f>
        <v>-4.6413375681668367E-2</v>
      </c>
    </row>
    <row r="8" spans="1:3" x14ac:dyDescent="0.2">
      <c r="A8" s="7" t="s">
        <v>8</v>
      </c>
      <c r="B8" s="5">
        <f>Assumptions!B29</f>
        <v>333.74</v>
      </c>
    </row>
    <row r="10" spans="1:3" x14ac:dyDescent="0.2">
      <c r="A10" s="7" t="s">
        <v>9</v>
      </c>
      <c r="B10" s="8">
        <f>MIN(B5:B7)</f>
        <v>142.04751568895975</v>
      </c>
      <c r="C10" s="8">
        <f>MAX(B5:B7)</f>
        <v>318.25</v>
      </c>
    </row>
    <row r="12" spans="1:3" x14ac:dyDescent="0.2">
      <c r="A12" s="7" t="s">
        <v>10</v>
      </c>
    </row>
    <row r="13" spans="1:3" x14ac:dyDescent="0.2">
      <c r="A13" s="4" t="s">
        <v>11</v>
      </c>
    </row>
    <row r="14" spans="1:3" x14ac:dyDescent="0.2">
      <c r="A14" s="4" t="s">
        <v>12</v>
      </c>
    </row>
    <row r="15" spans="1:3" x14ac:dyDescent="0.2">
      <c r="A15" s="4" t="s">
        <v>13</v>
      </c>
    </row>
    <row r="16" spans="1:3" x14ac:dyDescent="0.2">
      <c r="A16" s="4" t="s">
        <v>14</v>
      </c>
    </row>
    <row r="18" spans="1:1" x14ac:dyDescent="0.2">
      <c r="A18" s="7" t="s">
        <v>15</v>
      </c>
    </row>
    <row r="19" spans="1:1" x14ac:dyDescent="0.2">
      <c r="A19" s="4" t="s">
        <v>16</v>
      </c>
    </row>
    <row r="20" spans="1:1" x14ac:dyDescent="0.2">
      <c r="A20" s="4" t="s">
        <v>17</v>
      </c>
    </row>
    <row r="21" spans="1:1" x14ac:dyDescent="0.2">
      <c r="A21" s="7" t="s">
        <v>18</v>
      </c>
    </row>
    <row r="22" spans="1:1" x14ac:dyDescent="0.2">
      <c r="A22" s="4" t="s">
        <v>19</v>
      </c>
    </row>
    <row r="24" spans="1:1" x14ac:dyDescent="0.2">
      <c r="A24" s="7" t="s">
        <v>20</v>
      </c>
    </row>
    <row r="25" spans="1:1" x14ac:dyDescent="0.2">
      <c r="A25" s="4" t="s">
        <v>21</v>
      </c>
    </row>
    <row r="26" spans="1:1" x14ac:dyDescent="0.2">
      <c r="A26" s="4" t="s">
        <v>22</v>
      </c>
    </row>
    <row r="27" spans="1:1" x14ac:dyDescent="0.2">
      <c r="A27" s="4" t="s">
        <v>23</v>
      </c>
    </row>
    <row r="29" spans="1:1" x14ac:dyDescent="0.2">
      <c r="A29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showGridLines="0" workbookViewId="0"/>
  </sheetViews>
  <sheetFormatPr baseColWidth="10" defaultColWidth="8.83203125" defaultRowHeight="15" x14ac:dyDescent="0.2"/>
  <cols>
    <col min="1" max="1" width="34" customWidth="1"/>
    <col min="2" max="7" width="11.5" customWidth="1"/>
    <col min="8" max="8" width="52" customWidth="1"/>
    <col min="9" max="10" width="11.5" customWidth="1"/>
  </cols>
  <sheetData>
    <row r="1" spans="1:8" ht="18" customHeight="1" x14ac:dyDescent="0.2">
      <c r="A1" s="1" t="s">
        <v>25</v>
      </c>
    </row>
    <row r="2" spans="1:8" x14ac:dyDescent="0.2">
      <c r="A2" s="2" t="s">
        <v>26</v>
      </c>
    </row>
    <row r="3" spans="1:8" x14ac:dyDescent="0.2">
      <c r="B3" s="9" t="s">
        <v>27</v>
      </c>
      <c r="C3" s="9" t="s">
        <v>28</v>
      </c>
      <c r="D3" s="9" t="s">
        <v>29</v>
      </c>
      <c r="E3" s="9" t="s">
        <v>30</v>
      </c>
      <c r="F3" s="9" t="s">
        <v>31</v>
      </c>
    </row>
    <row r="4" spans="1:8" x14ac:dyDescent="0.2">
      <c r="A4" s="7" t="s">
        <v>32</v>
      </c>
      <c r="B4" s="10">
        <v>0.08</v>
      </c>
      <c r="C4" s="10">
        <v>7.0000000000000007E-2</v>
      </c>
      <c r="D4" s="10">
        <v>0.06</v>
      </c>
      <c r="E4" s="10">
        <v>0.05</v>
      </c>
      <c r="F4" s="10">
        <v>4.4999999999999998E-2</v>
      </c>
      <c r="H4" s="2" t="s">
        <v>33</v>
      </c>
    </row>
    <row r="5" spans="1:8" x14ac:dyDescent="0.2">
      <c r="A5" s="7" t="s">
        <v>34</v>
      </c>
      <c r="B5" s="10">
        <v>0.47</v>
      </c>
      <c r="C5" s="10">
        <v>0.47099999999999997</v>
      </c>
      <c r="D5" s="10">
        <v>0.47199999999999998</v>
      </c>
      <c r="E5" s="10">
        <v>0.47299999999999998</v>
      </c>
      <c r="F5" s="10">
        <v>0.47399999999999998</v>
      </c>
      <c r="H5" s="2" t="s">
        <v>35</v>
      </c>
    </row>
    <row r="6" spans="1:8" x14ac:dyDescent="0.2">
      <c r="A6" s="4" t="s">
        <v>36</v>
      </c>
      <c r="B6" s="11">
        <v>8.3000000000000004E-2</v>
      </c>
      <c r="C6" s="11">
        <v>8.3000000000000004E-2</v>
      </c>
      <c r="D6" s="11">
        <v>8.3000000000000004E-2</v>
      </c>
      <c r="E6" s="11">
        <v>8.3000000000000004E-2</v>
      </c>
      <c r="F6" s="11">
        <v>8.3000000000000004E-2</v>
      </c>
      <c r="H6" s="2" t="s">
        <v>37</v>
      </c>
    </row>
    <row r="7" spans="1:8" x14ac:dyDescent="0.2">
      <c r="A7" s="4" t="s">
        <v>38</v>
      </c>
      <c r="B7" s="11">
        <v>6.6000000000000003E-2</v>
      </c>
      <c r="C7" s="11">
        <v>6.6000000000000003E-2</v>
      </c>
      <c r="D7" s="11">
        <v>6.6000000000000003E-2</v>
      </c>
      <c r="E7" s="11">
        <v>6.6000000000000003E-2</v>
      </c>
      <c r="F7" s="11">
        <v>6.6000000000000003E-2</v>
      </c>
      <c r="H7" s="2" t="s">
        <v>39</v>
      </c>
    </row>
    <row r="8" spans="1:8" x14ac:dyDescent="0.2">
      <c r="A8" s="4" t="s">
        <v>40</v>
      </c>
      <c r="B8" s="11">
        <v>0.16</v>
      </c>
      <c r="C8" s="11">
        <v>0.16</v>
      </c>
      <c r="D8" s="11">
        <v>0.16</v>
      </c>
      <c r="E8" s="11">
        <v>0.16</v>
      </c>
      <c r="F8" s="11">
        <v>0.16</v>
      </c>
      <c r="H8" s="2" t="s">
        <v>41</v>
      </c>
    </row>
    <row r="9" spans="1:8" x14ac:dyDescent="0.2">
      <c r="A9" s="4" t="s">
        <v>42</v>
      </c>
      <c r="B9" s="11">
        <v>2.8000000000000001E-2</v>
      </c>
      <c r="C9" s="11">
        <v>2.8000000000000001E-2</v>
      </c>
      <c r="D9" s="11">
        <v>2.8000000000000001E-2</v>
      </c>
      <c r="E9" s="11">
        <v>2.8000000000000001E-2</v>
      </c>
      <c r="F9" s="11">
        <v>2.8000000000000001E-2</v>
      </c>
      <c r="H9" s="2" t="s">
        <v>43</v>
      </c>
    </row>
    <row r="10" spans="1:8" x14ac:dyDescent="0.2">
      <c r="A10" s="4" t="s">
        <v>44</v>
      </c>
      <c r="B10" s="11">
        <v>0.03</v>
      </c>
      <c r="C10" s="11">
        <v>0.03</v>
      </c>
      <c r="D10" s="11">
        <v>0.03</v>
      </c>
      <c r="E10" s="11">
        <v>0.03</v>
      </c>
      <c r="F10" s="11">
        <v>0.03</v>
      </c>
      <c r="H10" s="2" t="s">
        <v>45</v>
      </c>
    </row>
    <row r="11" spans="1:8" x14ac:dyDescent="0.2">
      <c r="A11" s="4" t="s">
        <v>46</v>
      </c>
      <c r="B11" s="11">
        <v>9.6000000000000002E-2</v>
      </c>
      <c r="C11" s="11">
        <v>9.6000000000000002E-2</v>
      </c>
      <c r="D11" s="11">
        <v>9.6000000000000002E-2</v>
      </c>
      <c r="E11" s="11">
        <v>9.6000000000000002E-2</v>
      </c>
      <c r="F11" s="11">
        <v>9.6000000000000002E-2</v>
      </c>
      <c r="H11" s="2" t="s">
        <v>47</v>
      </c>
    </row>
    <row r="12" spans="1:8" x14ac:dyDescent="0.2">
      <c r="A12" s="4" t="s">
        <v>48</v>
      </c>
      <c r="B12" s="11">
        <v>1.4E-2</v>
      </c>
      <c r="C12" s="11">
        <v>1.4E-2</v>
      </c>
      <c r="D12" s="11">
        <v>1.4E-2</v>
      </c>
      <c r="E12" s="11">
        <v>1.4E-2</v>
      </c>
      <c r="F12" s="11">
        <v>1.4E-2</v>
      </c>
      <c r="H12" s="2" t="s">
        <v>49</v>
      </c>
    </row>
    <row r="13" spans="1:8" x14ac:dyDescent="0.2">
      <c r="A13" s="4" t="s">
        <v>50</v>
      </c>
      <c r="B13" s="11">
        <v>0.16800000000000001</v>
      </c>
      <c r="C13" s="11">
        <v>0.16800000000000001</v>
      </c>
      <c r="D13" s="11">
        <v>0.16800000000000001</v>
      </c>
      <c r="E13" s="11">
        <v>0.16800000000000001</v>
      </c>
      <c r="F13" s="11">
        <v>0.16800000000000001</v>
      </c>
      <c r="H13" s="2" t="s">
        <v>51</v>
      </c>
    </row>
    <row r="14" spans="1:8" x14ac:dyDescent="0.2">
      <c r="A14" s="4" t="s">
        <v>52</v>
      </c>
      <c r="B14" s="12">
        <v>95</v>
      </c>
      <c r="C14" s="12">
        <v>95</v>
      </c>
      <c r="D14" s="12">
        <v>95</v>
      </c>
      <c r="E14" s="12">
        <v>95</v>
      </c>
      <c r="F14" s="12">
        <v>95</v>
      </c>
      <c r="H14" s="2" t="s">
        <v>53</v>
      </c>
    </row>
    <row r="15" spans="1:8" x14ac:dyDescent="0.2">
      <c r="A15" s="4" t="s">
        <v>54</v>
      </c>
      <c r="B15" s="12">
        <v>15.5</v>
      </c>
      <c r="C15" s="12">
        <v>15.8</v>
      </c>
      <c r="D15" s="12">
        <v>16.100000000000001</v>
      </c>
      <c r="E15" s="12">
        <v>16.399999999999999</v>
      </c>
      <c r="F15" s="12">
        <v>16.7</v>
      </c>
      <c r="H15" s="2" t="s">
        <v>55</v>
      </c>
    </row>
    <row r="17" spans="1:8" x14ac:dyDescent="0.2">
      <c r="A17" s="3" t="s">
        <v>56</v>
      </c>
    </row>
    <row r="18" spans="1:8" x14ac:dyDescent="0.2">
      <c r="A18" s="4" t="s">
        <v>57</v>
      </c>
      <c r="B18" s="10">
        <v>4.5400000000000003E-2</v>
      </c>
      <c r="H18" s="2" t="s">
        <v>58</v>
      </c>
    </row>
    <row r="19" spans="1:8" x14ac:dyDescent="0.2">
      <c r="A19" s="4" t="s">
        <v>59</v>
      </c>
      <c r="B19" s="13">
        <v>1.1000000000000001</v>
      </c>
      <c r="H19" s="2" t="s">
        <v>60</v>
      </c>
    </row>
    <row r="20" spans="1:8" x14ac:dyDescent="0.2">
      <c r="A20" s="4" t="s">
        <v>61</v>
      </c>
      <c r="B20" s="10">
        <v>4.4999999999999998E-2</v>
      </c>
      <c r="H20" s="2" t="s">
        <v>62</v>
      </c>
    </row>
    <row r="21" spans="1:8" x14ac:dyDescent="0.2">
      <c r="A21" s="4" t="s">
        <v>63</v>
      </c>
      <c r="B21" s="6">
        <f>B18+B19*B20</f>
        <v>9.4900000000000012E-2</v>
      </c>
      <c r="H21" s="2" t="s">
        <v>64</v>
      </c>
    </row>
    <row r="22" spans="1:8" x14ac:dyDescent="0.2">
      <c r="A22" s="4" t="s">
        <v>65</v>
      </c>
      <c r="B22" s="11">
        <v>0.04</v>
      </c>
      <c r="H22" s="2" t="s">
        <v>66</v>
      </c>
    </row>
    <row r="23" spans="1:8" x14ac:dyDescent="0.2">
      <c r="A23" s="4" t="s">
        <v>67</v>
      </c>
      <c r="B23" s="12">
        <v>4901.8</v>
      </c>
      <c r="H23" s="2" t="s">
        <v>68</v>
      </c>
    </row>
    <row r="24" spans="1:8" x14ac:dyDescent="0.2">
      <c r="A24" s="4" t="s">
        <v>69</v>
      </c>
      <c r="B24" s="12">
        <v>84.7</v>
      </c>
      <c r="H24" s="2" t="s">
        <v>70</v>
      </c>
    </row>
    <row r="25" spans="1:8" x14ac:dyDescent="0.2">
      <c r="A25" s="4" t="s">
        <v>71</v>
      </c>
      <c r="B25" s="6">
        <f>(B23*B21+B24*B22*(1-B8))/(B23+B24)</f>
        <v>9.3858766670009044E-2</v>
      </c>
      <c r="H25" s="2" t="s">
        <v>72</v>
      </c>
    </row>
    <row r="26" spans="1:8" x14ac:dyDescent="0.2">
      <c r="A26" s="4" t="s">
        <v>73</v>
      </c>
      <c r="B26" s="10">
        <v>0.03</v>
      </c>
      <c r="H26" s="2" t="s">
        <v>74</v>
      </c>
    </row>
    <row r="28" spans="1:8" x14ac:dyDescent="0.2">
      <c r="A28" s="3" t="s">
        <v>75</v>
      </c>
    </row>
    <row r="29" spans="1:8" x14ac:dyDescent="0.2">
      <c r="A29" s="4" t="s">
        <v>76</v>
      </c>
      <c r="B29" s="14">
        <v>333.74</v>
      </c>
      <c r="H29" s="2" t="s">
        <v>77</v>
      </c>
    </row>
    <row r="30" spans="1:8" x14ac:dyDescent="0.2">
      <c r="A30" s="4" t="s">
        <v>78</v>
      </c>
      <c r="B30" s="15">
        <v>14.686999999999999</v>
      </c>
      <c r="H30" s="2" t="s">
        <v>79</v>
      </c>
    </row>
    <row r="31" spans="1:8" x14ac:dyDescent="0.2">
      <c r="A31" s="4" t="s">
        <v>80</v>
      </c>
      <c r="B31" s="12">
        <v>16.2</v>
      </c>
      <c r="H31" s="2" t="s">
        <v>81</v>
      </c>
    </row>
    <row r="32" spans="1:8" x14ac:dyDescent="0.2">
      <c r="A32" s="4" t="s">
        <v>7</v>
      </c>
      <c r="B32" s="14">
        <v>318.25</v>
      </c>
      <c r="H32" s="2" t="s">
        <v>82</v>
      </c>
    </row>
    <row r="34" spans="1:1" x14ac:dyDescent="0.2">
      <c r="A34" s="2" t="s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showGridLines="0" workbookViewId="0"/>
  </sheetViews>
  <sheetFormatPr baseColWidth="10" defaultColWidth="8.83203125" defaultRowHeight="15" x14ac:dyDescent="0.2"/>
  <cols>
    <col min="1" max="1" width="34" customWidth="1"/>
    <col min="2" max="10" width="11.5" customWidth="1"/>
  </cols>
  <sheetData>
    <row r="1" spans="1:10" ht="18" customHeight="1" x14ac:dyDescent="0.2">
      <c r="A1" s="1" t="s">
        <v>84</v>
      </c>
    </row>
    <row r="2" spans="1:10" x14ac:dyDescent="0.2">
      <c r="B2" s="9" t="s">
        <v>85</v>
      </c>
      <c r="C2" s="9" t="s">
        <v>86</v>
      </c>
      <c r="D2" s="9" t="s">
        <v>87</v>
      </c>
      <c r="E2" s="9" t="s">
        <v>88</v>
      </c>
      <c r="F2" s="9" t="s">
        <v>27</v>
      </c>
      <c r="G2" s="9" t="s">
        <v>28</v>
      </c>
      <c r="H2" s="9" t="s">
        <v>29</v>
      </c>
      <c r="I2" s="9" t="s">
        <v>30</v>
      </c>
      <c r="J2" s="9" t="s">
        <v>31</v>
      </c>
    </row>
    <row r="3" spans="1:10" x14ac:dyDescent="0.2">
      <c r="A3" s="7" t="s">
        <v>89</v>
      </c>
      <c r="B3" s="12">
        <v>394.33</v>
      </c>
      <c r="C3" s="12">
        <v>383.29</v>
      </c>
      <c r="D3" s="12">
        <v>391.04</v>
      </c>
      <c r="E3" s="12">
        <v>416.16</v>
      </c>
      <c r="F3" s="16">
        <f>E3*(1+Assumptions!B4)</f>
        <v>449.45280000000008</v>
      </c>
      <c r="G3" s="16">
        <f>F3*(1+Assumptions!C4)</f>
        <v>480.9144960000001</v>
      </c>
      <c r="H3" s="16">
        <f>G3*(1+Assumptions!D4)</f>
        <v>509.76936576000014</v>
      </c>
      <c r="I3" s="16">
        <f>H3*(1+Assumptions!E4)</f>
        <v>535.25783404800018</v>
      </c>
      <c r="J3" s="16">
        <f>I3*(1+Assumptions!F4)</f>
        <v>559.34443658016016</v>
      </c>
    </row>
    <row r="4" spans="1:10" x14ac:dyDescent="0.2">
      <c r="A4" s="4" t="s">
        <v>90</v>
      </c>
      <c r="C4" s="6">
        <f t="shared" ref="C4:J4" si="0">C3/B3-1</f>
        <v>-2.7996855425658662E-2</v>
      </c>
      <c r="D4" s="6">
        <f t="shared" si="0"/>
        <v>2.021967700696603E-2</v>
      </c>
      <c r="E4" s="6">
        <f t="shared" si="0"/>
        <v>6.4238952536824989E-2</v>
      </c>
      <c r="F4" s="6">
        <f t="shared" si="0"/>
        <v>8.0000000000000071E-2</v>
      </c>
      <c r="G4" s="6">
        <f t="shared" si="0"/>
        <v>7.0000000000000062E-2</v>
      </c>
      <c r="H4" s="6">
        <f t="shared" si="0"/>
        <v>6.0000000000000053E-2</v>
      </c>
      <c r="I4" s="6">
        <f t="shared" si="0"/>
        <v>5.0000000000000044E-2</v>
      </c>
      <c r="J4" s="6">
        <f t="shared" si="0"/>
        <v>4.4999999999999929E-2</v>
      </c>
    </row>
    <row r="5" spans="1:10" x14ac:dyDescent="0.2">
      <c r="A5" s="4" t="s">
        <v>91</v>
      </c>
      <c r="B5" s="12">
        <v>223.55</v>
      </c>
      <c r="C5" s="12">
        <v>214.14</v>
      </c>
      <c r="D5" s="12">
        <v>210.35</v>
      </c>
      <c r="E5" s="12">
        <v>220.96</v>
      </c>
      <c r="F5" s="16">
        <f>F3*(1-Assumptions!B5)</f>
        <v>238.20998400000005</v>
      </c>
      <c r="G5" s="16">
        <f>G3*(1-Assumptions!C5)</f>
        <v>254.40376838400007</v>
      </c>
      <c r="H5" s="16">
        <f>H3*(1-Assumptions!D5)</f>
        <v>269.15822512128011</v>
      </c>
      <c r="I5" s="16">
        <f>I3*(1-Assumptions!E5)</f>
        <v>282.08087854329608</v>
      </c>
      <c r="J5" s="16">
        <f>J3*(1-Assumptions!F5)</f>
        <v>294.21517364116426</v>
      </c>
    </row>
    <row r="6" spans="1:10" x14ac:dyDescent="0.2">
      <c r="A6" s="7" t="s">
        <v>92</v>
      </c>
      <c r="B6" s="17">
        <f t="shared" ref="B6:J6" si="1">B3-B5</f>
        <v>170.77999999999997</v>
      </c>
      <c r="C6" s="17">
        <f t="shared" si="1"/>
        <v>169.15000000000003</v>
      </c>
      <c r="D6" s="17">
        <f t="shared" si="1"/>
        <v>180.69000000000003</v>
      </c>
      <c r="E6" s="17">
        <f t="shared" si="1"/>
        <v>195.20000000000002</v>
      </c>
      <c r="F6" s="17">
        <f t="shared" si="1"/>
        <v>211.24281600000003</v>
      </c>
      <c r="G6" s="17">
        <f t="shared" si="1"/>
        <v>226.51072761600003</v>
      </c>
      <c r="H6" s="17">
        <f t="shared" si="1"/>
        <v>240.61114063872003</v>
      </c>
      <c r="I6" s="17">
        <f t="shared" si="1"/>
        <v>253.1769555047041</v>
      </c>
      <c r="J6" s="17">
        <f t="shared" si="1"/>
        <v>265.12926293899591</v>
      </c>
    </row>
    <row r="7" spans="1:10" x14ac:dyDescent="0.2">
      <c r="A7" s="4" t="s">
        <v>93</v>
      </c>
      <c r="B7" s="6">
        <f t="shared" ref="B7:J7" si="2">B6/B3</f>
        <v>0.43308903710090529</v>
      </c>
      <c r="C7" s="6">
        <f t="shared" si="2"/>
        <v>0.44131075686816779</v>
      </c>
      <c r="D7" s="6">
        <f t="shared" si="2"/>
        <v>0.46207549099836337</v>
      </c>
      <c r="E7" s="6">
        <f t="shared" si="2"/>
        <v>0.4690503652441369</v>
      </c>
      <c r="F7" s="6">
        <f t="shared" si="2"/>
        <v>0.47</v>
      </c>
      <c r="G7" s="6">
        <f t="shared" si="2"/>
        <v>0.47099999999999997</v>
      </c>
      <c r="H7" s="6">
        <f t="shared" si="2"/>
        <v>0.47199999999999992</v>
      </c>
      <c r="I7" s="6">
        <f t="shared" si="2"/>
        <v>0.47300000000000003</v>
      </c>
      <c r="J7" s="6">
        <f t="shared" si="2"/>
        <v>0.47399999999999998</v>
      </c>
    </row>
    <row r="8" spans="1:10" x14ac:dyDescent="0.2">
      <c r="A8" s="4" t="s">
        <v>94</v>
      </c>
      <c r="B8" s="12">
        <v>26.25</v>
      </c>
      <c r="C8" s="12">
        <v>29.91</v>
      </c>
      <c r="D8" s="12">
        <v>31.37</v>
      </c>
      <c r="E8" s="12">
        <v>34.549999999999997</v>
      </c>
      <c r="F8" s="16">
        <f>F3*Assumptions!B6</f>
        <v>37.304582400000008</v>
      </c>
      <c r="G8" s="16">
        <f>G3*Assumptions!C6</f>
        <v>39.915903168000007</v>
      </c>
      <c r="H8" s="16">
        <f>H3*Assumptions!D6</f>
        <v>42.310857358080014</v>
      </c>
      <c r="I8" s="16">
        <f>I3*Assumptions!E6</f>
        <v>44.426400225984018</v>
      </c>
      <c r="J8" s="16">
        <f>J3*Assumptions!F6</f>
        <v>46.425588236153295</v>
      </c>
    </row>
    <row r="9" spans="1:10" x14ac:dyDescent="0.2">
      <c r="A9" s="4" t="s">
        <v>95</v>
      </c>
      <c r="B9" s="12">
        <v>25.09</v>
      </c>
      <c r="C9" s="12">
        <v>24.93</v>
      </c>
      <c r="D9" s="12">
        <v>26.1</v>
      </c>
      <c r="E9" s="12">
        <v>27.6</v>
      </c>
      <c r="F9" s="16">
        <f>F3*Assumptions!B7</f>
        <v>29.663884800000005</v>
      </c>
      <c r="G9" s="16">
        <f>G3*Assumptions!C7</f>
        <v>31.74035673600001</v>
      </c>
      <c r="H9" s="16">
        <f>H3*Assumptions!D7</f>
        <v>33.644778140160014</v>
      </c>
      <c r="I9" s="16">
        <f>I3*Assumptions!E7</f>
        <v>35.327017047168013</v>
      </c>
      <c r="J9" s="16">
        <f>J3*Assumptions!F7</f>
        <v>36.916732814290576</v>
      </c>
    </row>
    <row r="10" spans="1:10" x14ac:dyDescent="0.2">
      <c r="A10" s="7" t="s">
        <v>96</v>
      </c>
      <c r="B10" s="17">
        <f t="shared" ref="B10:J10" si="3">B6-B8-B9</f>
        <v>119.43999999999997</v>
      </c>
      <c r="C10" s="17">
        <f t="shared" si="3"/>
        <v>114.31000000000003</v>
      </c>
      <c r="D10" s="17">
        <f t="shared" si="3"/>
        <v>123.22000000000003</v>
      </c>
      <c r="E10" s="17">
        <f t="shared" si="3"/>
        <v>133.05000000000004</v>
      </c>
      <c r="F10" s="17">
        <f t="shared" si="3"/>
        <v>144.27434880000001</v>
      </c>
      <c r="G10" s="17">
        <f t="shared" si="3"/>
        <v>154.85446771200003</v>
      </c>
      <c r="H10" s="17">
        <f t="shared" si="3"/>
        <v>164.65550514048002</v>
      </c>
      <c r="I10" s="17">
        <f t="shared" si="3"/>
        <v>173.42353823155207</v>
      </c>
      <c r="J10" s="17">
        <f t="shared" si="3"/>
        <v>181.78694188855204</v>
      </c>
    </row>
    <row r="11" spans="1:10" x14ac:dyDescent="0.2">
      <c r="A11" s="4" t="s">
        <v>97</v>
      </c>
      <c r="B11" s="6">
        <f t="shared" ref="B11:J11" si="4">B10/B3</f>
        <v>0.30289351558339456</v>
      </c>
      <c r="C11" s="6">
        <f t="shared" si="4"/>
        <v>0.29823371337629478</v>
      </c>
      <c r="D11" s="6">
        <f t="shared" si="4"/>
        <v>0.31510842880523737</v>
      </c>
      <c r="E11" s="6">
        <f t="shared" si="4"/>
        <v>0.31970876585928498</v>
      </c>
      <c r="F11" s="6">
        <f t="shared" si="4"/>
        <v>0.32099999999999995</v>
      </c>
      <c r="G11" s="6">
        <f t="shared" si="4"/>
        <v>0.32200000000000001</v>
      </c>
      <c r="H11" s="6">
        <f t="shared" si="4"/>
        <v>0.32299999999999995</v>
      </c>
      <c r="I11" s="6">
        <f t="shared" si="4"/>
        <v>0.32400000000000001</v>
      </c>
      <c r="J11" s="6">
        <f t="shared" si="4"/>
        <v>0.32499999999999996</v>
      </c>
    </row>
    <row r="12" spans="1:10" x14ac:dyDescent="0.2">
      <c r="A12" s="4" t="s">
        <v>98</v>
      </c>
      <c r="B12" s="12">
        <v>-0.34</v>
      </c>
      <c r="C12" s="12">
        <v>-0.56000000000000005</v>
      </c>
      <c r="D12" s="12">
        <v>0.26</v>
      </c>
      <c r="E12" s="12">
        <v>-0.32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</row>
    <row r="13" spans="1:10" x14ac:dyDescent="0.2">
      <c r="A13" s="4" t="s">
        <v>99</v>
      </c>
      <c r="B13" s="16">
        <f t="shared" ref="B13:J13" si="5">B10+B12</f>
        <v>119.09999999999997</v>
      </c>
      <c r="C13" s="16">
        <f t="shared" si="5"/>
        <v>113.75000000000003</v>
      </c>
      <c r="D13" s="16">
        <f t="shared" si="5"/>
        <v>123.48000000000003</v>
      </c>
      <c r="E13" s="16">
        <f t="shared" si="5"/>
        <v>132.73000000000005</v>
      </c>
      <c r="F13" s="16">
        <f t="shared" si="5"/>
        <v>144.27434880000001</v>
      </c>
      <c r="G13" s="16">
        <f t="shared" si="5"/>
        <v>154.85446771200003</v>
      </c>
      <c r="H13" s="16">
        <f t="shared" si="5"/>
        <v>164.65550514048002</v>
      </c>
      <c r="I13" s="16">
        <f t="shared" si="5"/>
        <v>173.42353823155207</v>
      </c>
      <c r="J13" s="16">
        <f t="shared" si="5"/>
        <v>181.78694188855204</v>
      </c>
    </row>
    <row r="14" spans="1:10" x14ac:dyDescent="0.2">
      <c r="A14" s="4" t="s">
        <v>100</v>
      </c>
      <c r="B14" s="12">
        <v>19.3</v>
      </c>
      <c r="C14" s="12">
        <v>16.739999999999998</v>
      </c>
      <c r="D14" s="12">
        <v>29.75</v>
      </c>
      <c r="E14" s="12">
        <v>20.72</v>
      </c>
      <c r="F14" s="16">
        <f>F13*Assumptions!B8</f>
        <v>23.083895808000001</v>
      </c>
      <c r="G14" s="16">
        <f>G13*Assumptions!C8</f>
        <v>24.776714833920007</v>
      </c>
      <c r="H14" s="16">
        <f>H13*Assumptions!D8</f>
        <v>26.344880822476803</v>
      </c>
      <c r="I14" s="16">
        <f>I13*Assumptions!E8</f>
        <v>27.747766117048332</v>
      </c>
      <c r="J14" s="16">
        <f>J13*Assumptions!F8</f>
        <v>29.085910702168327</v>
      </c>
    </row>
    <row r="15" spans="1:10" x14ac:dyDescent="0.2">
      <c r="A15" s="4" t="s">
        <v>101</v>
      </c>
      <c r="B15" s="6">
        <f t="shared" ref="B15:J15" si="6">B14/B13</f>
        <v>0.1620486985726281</v>
      </c>
      <c r="C15" s="6">
        <f t="shared" si="6"/>
        <v>0.14716483516483511</v>
      </c>
      <c r="D15" s="6">
        <f t="shared" si="6"/>
        <v>0.24092970521541943</v>
      </c>
      <c r="E15" s="6">
        <f t="shared" si="6"/>
        <v>0.15610638137572511</v>
      </c>
      <c r="F15" s="6">
        <f t="shared" si="6"/>
        <v>0.16</v>
      </c>
      <c r="G15" s="6">
        <f t="shared" si="6"/>
        <v>0.16</v>
      </c>
      <c r="H15" s="6">
        <f t="shared" si="6"/>
        <v>0.16</v>
      </c>
      <c r="I15" s="6">
        <f t="shared" si="6"/>
        <v>0.16</v>
      </c>
      <c r="J15" s="6">
        <f t="shared" si="6"/>
        <v>0.16</v>
      </c>
    </row>
    <row r="16" spans="1:10" x14ac:dyDescent="0.2">
      <c r="A16" s="7" t="s">
        <v>102</v>
      </c>
      <c r="B16" s="17">
        <f t="shared" ref="B16:J16" si="7">B13-B14</f>
        <v>99.799999999999969</v>
      </c>
      <c r="C16" s="17">
        <f t="shared" si="7"/>
        <v>97.010000000000034</v>
      </c>
      <c r="D16" s="17">
        <f t="shared" si="7"/>
        <v>93.730000000000032</v>
      </c>
      <c r="E16" s="17">
        <f t="shared" si="7"/>
        <v>112.01000000000005</v>
      </c>
      <c r="F16" s="17">
        <f t="shared" si="7"/>
        <v>121.19045299200002</v>
      </c>
      <c r="G16" s="17">
        <f t="shared" si="7"/>
        <v>130.07775287808002</v>
      </c>
      <c r="H16" s="17">
        <f t="shared" si="7"/>
        <v>138.31062431800322</v>
      </c>
      <c r="I16" s="17">
        <f t="shared" si="7"/>
        <v>145.67577211450373</v>
      </c>
      <c r="J16" s="17">
        <f t="shared" si="7"/>
        <v>152.70103118638372</v>
      </c>
    </row>
    <row r="17" spans="1:10" x14ac:dyDescent="0.2">
      <c r="A17" s="4" t="s">
        <v>78</v>
      </c>
      <c r="B17" s="18">
        <v>16.329999999999998</v>
      </c>
      <c r="C17" s="18">
        <v>15.81</v>
      </c>
      <c r="D17" s="18">
        <v>15.41</v>
      </c>
      <c r="E17" s="18">
        <v>15</v>
      </c>
      <c r="F17" s="19">
        <f>Assumptions!$B$30</f>
        <v>14.686999999999999</v>
      </c>
      <c r="G17" s="19">
        <f>Assumptions!$B$30</f>
        <v>14.686999999999999</v>
      </c>
      <c r="H17" s="19">
        <f>Assumptions!$B$30</f>
        <v>14.686999999999999</v>
      </c>
      <c r="I17" s="19">
        <f>Assumptions!$B$30</f>
        <v>14.686999999999999</v>
      </c>
      <c r="J17" s="19">
        <f>Assumptions!$B$30</f>
        <v>14.686999999999999</v>
      </c>
    </row>
    <row r="18" spans="1:10" x14ac:dyDescent="0.2">
      <c r="A18" s="7" t="s">
        <v>103</v>
      </c>
      <c r="B18" s="8">
        <f t="shared" ref="B18:J18" si="8">B16/B17</f>
        <v>6.1114513165952227</v>
      </c>
      <c r="C18" s="8">
        <f t="shared" si="8"/>
        <v>6.1359898798228985</v>
      </c>
      <c r="D18" s="8">
        <f t="shared" si="8"/>
        <v>6.0824140168721632</v>
      </c>
      <c r="E18" s="8">
        <f t="shared" si="8"/>
        <v>7.4673333333333369</v>
      </c>
      <c r="F18" s="8">
        <f t="shared" si="8"/>
        <v>8.2515457882481122</v>
      </c>
      <c r="G18" s="8">
        <f t="shared" si="8"/>
        <v>8.8566591460529729</v>
      </c>
      <c r="H18" s="8">
        <f t="shared" si="8"/>
        <v>9.417214156601295</v>
      </c>
      <c r="I18" s="8">
        <f t="shared" si="8"/>
        <v>9.9186880993057631</v>
      </c>
      <c r="J18" s="8">
        <f t="shared" si="8"/>
        <v>10.397019894218269</v>
      </c>
    </row>
    <row r="20" spans="1:10" x14ac:dyDescent="0.2">
      <c r="A20" s="2" t="s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showGridLines="0" workbookViewId="0">
      <selection activeCell="B30" sqref="B30"/>
    </sheetView>
  </sheetViews>
  <sheetFormatPr baseColWidth="10" defaultColWidth="8.83203125" defaultRowHeight="15" x14ac:dyDescent="0.2"/>
  <cols>
    <col min="1" max="1" width="34" customWidth="1"/>
    <col min="2" max="10" width="11.5" customWidth="1"/>
  </cols>
  <sheetData>
    <row r="1" spans="1:10" ht="18" customHeight="1" x14ac:dyDescent="0.2">
      <c r="A1" s="1" t="s">
        <v>105</v>
      </c>
    </row>
    <row r="2" spans="1:10" x14ac:dyDescent="0.2">
      <c r="B2" s="9" t="s">
        <v>85</v>
      </c>
      <c r="C2" s="9" t="s">
        <v>86</v>
      </c>
      <c r="D2" s="9" t="s">
        <v>87</v>
      </c>
      <c r="E2" s="9" t="s">
        <v>88</v>
      </c>
      <c r="F2" s="9" t="s">
        <v>27</v>
      </c>
      <c r="G2" s="9" t="s">
        <v>28</v>
      </c>
      <c r="H2" s="9" t="s">
        <v>29</v>
      </c>
      <c r="I2" s="9" t="s">
        <v>30</v>
      </c>
      <c r="J2" s="9" t="s">
        <v>31</v>
      </c>
    </row>
    <row r="3" spans="1:10" x14ac:dyDescent="0.2">
      <c r="A3" s="4" t="s">
        <v>106</v>
      </c>
      <c r="B3" s="12">
        <v>48.3</v>
      </c>
      <c r="C3" s="12">
        <v>61.55</v>
      </c>
      <c r="D3" s="12">
        <v>65.17</v>
      </c>
      <c r="E3" s="12">
        <v>54.7</v>
      </c>
      <c r="F3" s="16">
        <f>E3+CashFlow!F12</f>
        <v>66.199809792000039</v>
      </c>
      <c r="G3" s="16">
        <f>F3+CashFlow!G12</f>
        <v>86.34051204608005</v>
      </c>
      <c r="H3" s="16">
        <f>G3+CashFlow!H12</f>
        <v>114.20518007864328</v>
      </c>
      <c r="I3" s="16">
        <f>H3+CashFlow!I12</f>
        <v>148.888767685755</v>
      </c>
      <c r="J3" s="16">
        <f>I3+CashFlow!J12</f>
        <v>190.16813294584369</v>
      </c>
    </row>
    <row r="4" spans="1:10" x14ac:dyDescent="0.2">
      <c r="A4" s="4" t="s">
        <v>107</v>
      </c>
      <c r="B4" s="12">
        <v>28.18</v>
      </c>
      <c r="C4" s="12">
        <v>29.51</v>
      </c>
      <c r="D4" s="12">
        <v>33.409999999999997</v>
      </c>
      <c r="E4" s="12">
        <v>39.78</v>
      </c>
      <c r="F4" s="16">
        <f>IncomeStatement!F3*Assumptions!B11</f>
        <v>43.147468800000006</v>
      </c>
      <c r="G4" s="16">
        <f>IncomeStatement!G3*Assumptions!C11</f>
        <v>46.167791616000009</v>
      </c>
      <c r="H4" s="16">
        <f>IncomeStatement!H3*Assumptions!D11</f>
        <v>48.937859112960012</v>
      </c>
      <c r="I4" s="16">
        <f>IncomeStatement!I3*Assumptions!E11</f>
        <v>51.384752068608016</v>
      </c>
      <c r="J4" s="16">
        <f>IncomeStatement!J3*Assumptions!F11</f>
        <v>53.697065911695375</v>
      </c>
    </row>
    <row r="5" spans="1:10" x14ac:dyDescent="0.2">
      <c r="A5" s="4" t="s">
        <v>108</v>
      </c>
      <c r="B5" s="12">
        <v>4.95</v>
      </c>
      <c r="C5" s="12">
        <v>6.33</v>
      </c>
      <c r="D5" s="12">
        <v>7.29</v>
      </c>
      <c r="E5" s="12">
        <v>5.72</v>
      </c>
      <c r="F5" s="16">
        <f>IncomeStatement!F3*Assumptions!B12</f>
        <v>6.2923392000000016</v>
      </c>
      <c r="G5" s="16">
        <f>IncomeStatement!G3*Assumptions!C12</f>
        <v>6.7328029440000012</v>
      </c>
      <c r="H5" s="16">
        <f>IncomeStatement!H3*Assumptions!D12</f>
        <v>7.1367711206400024</v>
      </c>
      <c r="I5" s="16">
        <f>IncomeStatement!I3*Assumptions!E12</f>
        <v>7.4936096766720031</v>
      </c>
      <c r="J5" s="16">
        <f>IncomeStatement!J3*Assumptions!F12</f>
        <v>7.8308221121222426</v>
      </c>
    </row>
    <row r="6" spans="1:10" x14ac:dyDescent="0.2">
      <c r="A6" s="4" t="s">
        <v>109</v>
      </c>
      <c r="B6" s="12">
        <v>53.98</v>
      </c>
      <c r="C6" s="12">
        <v>46.18</v>
      </c>
      <c r="D6" s="12">
        <v>47.12</v>
      </c>
      <c r="E6" s="12">
        <v>47.76</v>
      </c>
      <c r="F6" s="16">
        <f>E6</f>
        <v>47.76</v>
      </c>
      <c r="G6" s="16">
        <f>F6</f>
        <v>47.76</v>
      </c>
      <c r="H6" s="16">
        <f>G6</f>
        <v>47.76</v>
      </c>
      <c r="I6" s="16">
        <f>H6</f>
        <v>47.76</v>
      </c>
      <c r="J6" s="16">
        <f>I6</f>
        <v>47.76</v>
      </c>
    </row>
    <row r="7" spans="1:10" x14ac:dyDescent="0.2">
      <c r="A7" s="7" t="s">
        <v>110</v>
      </c>
      <c r="B7" s="16">
        <f t="shared" ref="B7:J7" si="0">SUM(B3:B6)</f>
        <v>135.41</v>
      </c>
      <c r="C7" s="16">
        <f t="shared" si="0"/>
        <v>143.57</v>
      </c>
      <c r="D7" s="16">
        <f t="shared" si="0"/>
        <v>152.99</v>
      </c>
      <c r="E7" s="16">
        <f t="shared" si="0"/>
        <v>147.96</v>
      </c>
      <c r="F7" s="16">
        <f t="shared" si="0"/>
        <v>163.39961779200004</v>
      </c>
      <c r="G7" s="16">
        <f t="shared" si="0"/>
        <v>187.00110660608007</v>
      </c>
      <c r="H7" s="16">
        <f t="shared" si="0"/>
        <v>218.03981031224328</v>
      </c>
      <c r="I7" s="16">
        <f t="shared" si="0"/>
        <v>255.52712943103501</v>
      </c>
      <c r="J7" s="16">
        <f t="shared" si="0"/>
        <v>299.45602096966132</v>
      </c>
    </row>
    <row r="8" spans="1:10" x14ac:dyDescent="0.2">
      <c r="A8" s="4" t="s">
        <v>111</v>
      </c>
      <c r="B8" s="12">
        <v>42.12</v>
      </c>
      <c r="C8" s="12">
        <v>43.72</v>
      </c>
      <c r="D8" s="12">
        <v>45.68</v>
      </c>
      <c r="E8" s="12">
        <v>49.83</v>
      </c>
      <c r="F8" s="16">
        <f>E8-CashFlow!F8-CashFlow!F4</f>
        <v>50.728905599999997</v>
      </c>
      <c r="G8" s="16">
        <f>F8-CashFlow!G8-CashFlow!G4</f>
        <v>51.690734591999998</v>
      </c>
      <c r="H8" s="16">
        <f>G8-CashFlow!H8-CashFlow!H4</f>
        <v>52.710273323519992</v>
      </c>
      <c r="I8" s="16">
        <f>H8-CashFlow!I8-CashFlow!I4</f>
        <v>53.780788991615992</v>
      </c>
      <c r="J8" s="16">
        <f>I8-CashFlow!J8-CashFlow!J4</f>
        <v>54.899477864776316</v>
      </c>
    </row>
    <row r="9" spans="1:10" x14ac:dyDescent="0.2">
      <c r="A9" s="4" t="s">
        <v>112</v>
      </c>
      <c r="B9" s="12">
        <v>175.22</v>
      </c>
      <c r="C9" s="12">
        <v>165.29</v>
      </c>
      <c r="D9" s="12">
        <v>166.31</v>
      </c>
      <c r="E9" s="12">
        <v>161.44999999999999</v>
      </c>
      <c r="F9" s="16">
        <f>E9</f>
        <v>161.44999999999999</v>
      </c>
      <c r="G9" s="16">
        <f>F9</f>
        <v>161.44999999999999</v>
      </c>
      <c r="H9" s="16">
        <f>G9</f>
        <v>161.44999999999999</v>
      </c>
      <c r="I9" s="16">
        <f>H9</f>
        <v>161.44999999999999</v>
      </c>
      <c r="J9" s="16">
        <f>I9</f>
        <v>161.44999999999999</v>
      </c>
    </row>
    <row r="10" spans="1:10" x14ac:dyDescent="0.2">
      <c r="A10" s="7" t="s">
        <v>113</v>
      </c>
      <c r="B10" s="16">
        <f t="shared" ref="B10:J10" si="1">B7+B8+B9</f>
        <v>352.75</v>
      </c>
      <c r="C10" s="16">
        <f t="shared" si="1"/>
        <v>352.58</v>
      </c>
      <c r="D10" s="16">
        <f t="shared" si="1"/>
        <v>364.98</v>
      </c>
      <c r="E10" s="16">
        <f t="shared" si="1"/>
        <v>359.24</v>
      </c>
      <c r="F10" s="16">
        <f t="shared" si="1"/>
        <v>375.57852339200002</v>
      </c>
      <c r="G10" s="16">
        <f t="shared" si="1"/>
        <v>400.14184119808004</v>
      </c>
      <c r="H10" s="16">
        <f t="shared" si="1"/>
        <v>432.20008363576324</v>
      </c>
      <c r="I10" s="16">
        <f t="shared" si="1"/>
        <v>470.75791842265102</v>
      </c>
      <c r="J10" s="16">
        <f t="shared" si="1"/>
        <v>515.80549883443769</v>
      </c>
    </row>
    <row r="12" spans="1:10" x14ac:dyDescent="0.2">
      <c r="A12" s="4" t="s">
        <v>114</v>
      </c>
      <c r="B12" s="12">
        <v>64.11</v>
      </c>
      <c r="C12" s="12">
        <v>62.61</v>
      </c>
      <c r="D12" s="12">
        <v>68.959999999999994</v>
      </c>
      <c r="E12" s="12">
        <v>69.86</v>
      </c>
      <c r="F12" s="16">
        <f>IncomeStatement!F3*Assumptions!B13</f>
        <v>75.508070400000022</v>
      </c>
      <c r="G12" s="16">
        <f>IncomeStatement!G3*Assumptions!C13</f>
        <v>80.793635328000022</v>
      </c>
      <c r="H12" s="16">
        <f>IncomeStatement!H3*Assumptions!D13</f>
        <v>85.641253447680029</v>
      </c>
      <c r="I12" s="16">
        <f>IncomeStatement!I3*Assumptions!E13</f>
        <v>89.92331612006403</v>
      </c>
      <c r="J12" s="16">
        <f>IncomeStatement!J3*Assumptions!F13</f>
        <v>93.969865345466914</v>
      </c>
    </row>
    <row r="13" spans="1:10" x14ac:dyDescent="0.2">
      <c r="A13" s="4" t="s">
        <v>115</v>
      </c>
      <c r="B13" s="12">
        <v>89.87</v>
      </c>
      <c r="C13" s="12">
        <v>82.7</v>
      </c>
      <c r="D13" s="12">
        <v>107.43</v>
      </c>
      <c r="E13" s="12">
        <v>95.77</v>
      </c>
      <c r="F13" s="16">
        <f>E13</f>
        <v>95.77</v>
      </c>
      <c r="G13" s="16">
        <f>F13</f>
        <v>95.77</v>
      </c>
      <c r="H13" s="16">
        <f>G13</f>
        <v>95.77</v>
      </c>
      <c r="I13" s="16">
        <f>H13</f>
        <v>95.77</v>
      </c>
      <c r="J13" s="16">
        <f>I13</f>
        <v>95.77</v>
      </c>
    </row>
    <row r="14" spans="1:10" x14ac:dyDescent="0.2">
      <c r="A14" s="7" t="s">
        <v>116</v>
      </c>
      <c r="B14" s="16">
        <f t="shared" ref="B14:J14" si="2">B12+B13</f>
        <v>153.98000000000002</v>
      </c>
      <c r="C14" s="16">
        <f t="shared" si="2"/>
        <v>145.31</v>
      </c>
      <c r="D14" s="16">
        <f t="shared" si="2"/>
        <v>176.39</v>
      </c>
      <c r="E14" s="16">
        <f t="shared" si="2"/>
        <v>165.63</v>
      </c>
      <c r="F14" s="16">
        <f t="shared" si="2"/>
        <v>171.27807040000002</v>
      </c>
      <c r="G14" s="16">
        <f t="shared" si="2"/>
        <v>176.56363532800003</v>
      </c>
      <c r="H14" s="16">
        <f t="shared" si="2"/>
        <v>181.41125344768002</v>
      </c>
      <c r="I14" s="16">
        <f t="shared" si="2"/>
        <v>185.69331612006403</v>
      </c>
      <c r="J14" s="16">
        <f t="shared" si="2"/>
        <v>189.73986534546691</v>
      </c>
    </row>
    <row r="15" spans="1:10" x14ac:dyDescent="0.2">
      <c r="A15" s="4" t="s">
        <v>117</v>
      </c>
      <c r="B15" s="12">
        <v>148.1</v>
      </c>
      <c r="C15" s="12">
        <v>145.12</v>
      </c>
      <c r="D15" s="12">
        <v>131.63999999999999</v>
      </c>
      <c r="E15" s="12">
        <v>119.88</v>
      </c>
      <c r="F15" s="16">
        <f>E15</f>
        <v>119.88</v>
      </c>
      <c r="G15" s="16">
        <f>F15</f>
        <v>119.88</v>
      </c>
      <c r="H15" s="16">
        <f>G15</f>
        <v>119.88</v>
      </c>
      <c r="I15" s="16">
        <f>H15</f>
        <v>119.88</v>
      </c>
      <c r="J15" s="16">
        <f>I15</f>
        <v>119.88</v>
      </c>
    </row>
    <row r="16" spans="1:10" x14ac:dyDescent="0.2">
      <c r="A16" s="7" t="s">
        <v>118</v>
      </c>
      <c r="B16" s="16">
        <f t="shared" ref="B16:J16" si="3">B14+B15</f>
        <v>302.08000000000004</v>
      </c>
      <c r="C16" s="16">
        <f t="shared" si="3"/>
        <v>290.43</v>
      </c>
      <c r="D16" s="16">
        <f t="shared" si="3"/>
        <v>308.02999999999997</v>
      </c>
      <c r="E16" s="16">
        <f t="shared" si="3"/>
        <v>285.51</v>
      </c>
      <c r="F16" s="16">
        <f t="shared" si="3"/>
        <v>291.15807040000004</v>
      </c>
      <c r="G16" s="16">
        <f t="shared" si="3"/>
        <v>296.44363532800003</v>
      </c>
      <c r="H16" s="16">
        <f t="shared" si="3"/>
        <v>301.29125344767999</v>
      </c>
      <c r="I16" s="16">
        <f t="shared" si="3"/>
        <v>305.57331612006402</v>
      </c>
      <c r="J16" s="16">
        <f t="shared" si="3"/>
        <v>309.61986534546691</v>
      </c>
    </row>
    <row r="17" spans="1:10" x14ac:dyDescent="0.2">
      <c r="A17" s="4" t="s">
        <v>119</v>
      </c>
      <c r="B17" s="12">
        <v>50.67</v>
      </c>
      <c r="C17" s="12">
        <v>62.15</v>
      </c>
      <c r="D17" s="12">
        <v>56.95</v>
      </c>
      <c r="E17" s="12">
        <v>73.73</v>
      </c>
      <c r="F17" s="16">
        <f>E17+CashFlow!F3+CashFlow!F10+CashFlow!F11</f>
        <v>84.420452992000037</v>
      </c>
      <c r="G17" s="16">
        <f>F17+CashFlow!G3+CashFlow!G10+CashFlow!G11</f>
        <v>103.69820587008006</v>
      </c>
      <c r="H17" s="16">
        <f>G17+CashFlow!H3+CashFlow!H10+CashFlow!H11</f>
        <v>130.90883018808327</v>
      </c>
      <c r="I17" s="16">
        <f>H17+CashFlow!I3+CashFlow!I10+CashFlow!I11</f>
        <v>165.18460230258697</v>
      </c>
      <c r="J17" s="16">
        <f>I17+CashFlow!J3+CashFlow!J10+CashFlow!J11</f>
        <v>206.18563348897072</v>
      </c>
    </row>
    <row r="18" spans="1:10" x14ac:dyDescent="0.2">
      <c r="A18" s="7" t="s">
        <v>120</v>
      </c>
      <c r="B18" s="16">
        <f t="shared" ref="B18:J18" si="4">B10-B16-B17</f>
        <v>0</v>
      </c>
      <c r="C18" s="16">
        <f t="shared" si="4"/>
        <v>0</v>
      </c>
      <c r="D18" s="16">
        <f t="shared" si="4"/>
        <v>0</v>
      </c>
      <c r="E18" s="16">
        <f t="shared" si="4"/>
        <v>0</v>
      </c>
      <c r="F18" s="16">
        <f t="shared" si="4"/>
        <v>0</v>
      </c>
      <c r="G18" s="16">
        <f t="shared" si="4"/>
        <v>0</v>
      </c>
      <c r="H18" s="16">
        <f t="shared" si="4"/>
        <v>0</v>
      </c>
      <c r="I18" s="16">
        <f t="shared" si="4"/>
        <v>0</v>
      </c>
      <c r="J18" s="16">
        <f t="shared" si="4"/>
        <v>0</v>
      </c>
    </row>
    <row r="20" spans="1:10" x14ac:dyDescent="0.2">
      <c r="A20" s="2" t="s">
        <v>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showGridLines="0" workbookViewId="0"/>
  </sheetViews>
  <sheetFormatPr baseColWidth="10" defaultColWidth="8.83203125" defaultRowHeight="15" x14ac:dyDescent="0.2"/>
  <cols>
    <col min="1" max="1" width="34" customWidth="1"/>
    <col min="2" max="10" width="11.5" customWidth="1"/>
  </cols>
  <sheetData>
    <row r="1" spans="1:10" ht="18" customHeight="1" x14ac:dyDescent="0.2">
      <c r="A1" s="1" t="s">
        <v>122</v>
      </c>
    </row>
    <row r="2" spans="1:10" x14ac:dyDescent="0.2">
      <c r="B2" s="9" t="s">
        <v>85</v>
      </c>
      <c r="C2" s="9" t="s">
        <v>86</v>
      </c>
      <c r="D2" s="9" t="s">
        <v>87</v>
      </c>
      <c r="E2" s="9" t="s">
        <v>88</v>
      </c>
      <c r="F2" s="9" t="s">
        <v>27</v>
      </c>
      <c r="G2" s="9" t="s">
        <v>28</v>
      </c>
      <c r="H2" s="9" t="s">
        <v>29</v>
      </c>
      <c r="I2" s="9" t="s">
        <v>30</v>
      </c>
      <c r="J2" s="9" t="s">
        <v>31</v>
      </c>
    </row>
    <row r="3" spans="1:10" x14ac:dyDescent="0.2">
      <c r="A3" s="4" t="s">
        <v>102</v>
      </c>
      <c r="B3" s="20">
        <f>IncomeStatement!B16</f>
        <v>99.799999999999969</v>
      </c>
      <c r="C3" s="20">
        <f>IncomeStatement!C16</f>
        <v>97.010000000000034</v>
      </c>
      <c r="D3" s="20">
        <f>IncomeStatement!D16</f>
        <v>93.730000000000032</v>
      </c>
      <c r="E3" s="20">
        <f>IncomeStatement!E16</f>
        <v>112.01000000000005</v>
      </c>
      <c r="F3" s="20">
        <f>IncomeStatement!F16</f>
        <v>121.19045299200002</v>
      </c>
      <c r="G3" s="20">
        <f>IncomeStatement!G16</f>
        <v>130.07775287808002</v>
      </c>
      <c r="H3" s="20">
        <f>IncomeStatement!H16</f>
        <v>138.31062431800322</v>
      </c>
      <c r="I3" s="20">
        <f>IncomeStatement!I16</f>
        <v>145.67577211450373</v>
      </c>
      <c r="J3" s="20">
        <f>IncomeStatement!J16</f>
        <v>152.70103118638372</v>
      </c>
    </row>
    <row r="4" spans="1:10" x14ac:dyDescent="0.2">
      <c r="A4" s="4" t="s">
        <v>123</v>
      </c>
      <c r="B4" s="12">
        <v>11.1</v>
      </c>
      <c r="C4" s="12">
        <v>11.52</v>
      </c>
      <c r="D4" s="12">
        <v>11.45</v>
      </c>
      <c r="E4" s="12">
        <v>11.7</v>
      </c>
      <c r="F4" s="16">
        <f>IncomeStatement!F3*Assumptions!B9</f>
        <v>12.584678400000003</v>
      </c>
      <c r="G4" s="16">
        <f>IncomeStatement!G3*Assumptions!C9</f>
        <v>13.465605888000002</v>
      </c>
      <c r="H4" s="16">
        <f>IncomeStatement!H3*Assumptions!D9</f>
        <v>14.273542241280005</v>
      </c>
      <c r="I4" s="16">
        <f>IncomeStatement!I3*Assumptions!E9</f>
        <v>14.987219353344006</v>
      </c>
      <c r="J4" s="16">
        <f>IncomeStatement!J3*Assumptions!F9</f>
        <v>15.661644224244485</v>
      </c>
    </row>
    <row r="5" spans="1:10" x14ac:dyDescent="0.2">
      <c r="A5" s="4" t="s">
        <v>124</v>
      </c>
      <c r="C5" s="16">
        <f>-((BalanceSheet!C4-BalanceSheet!B4)+(BalanceSheet!C5-BalanceSheet!B5)-(BalanceSheet!C12-BalanceSheet!B12))</f>
        <v>-4.2100000000000017</v>
      </c>
      <c r="D5" s="16">
        <f>-((BalanceSheet!D4-BalanceSheet!C4)+(BalanceSheet!D5-BalanceSheet!C5)-(BalanceSheet!D12-BalanceSheet!C12))</f>
        <v>1.4899999999999993</v>
      </c>
      <c r="E5" s="16">
        <f>-((BalanceSheet!E4-BalanceSheet!D4)+(BalanceSheet!E5-BalanceSheet!D5)-(BalanceSheet!E12-BalanceSheet!D12))</f>
        <v>-3.8999999999999986</v>
      </c>
      <c r="F5" s="16">
        <f>-((BalanceSheet!F4-BalanceSheet!E4)+(BalanceSheet!F5-BalanceSheet!E5)-(BalanceSheet!F12-BalanceSheet!E12))</f>
        <v>1.7082624000000166</v>
      </c>
      <c r="G5" s="16">
        <f>-((BalanceSheet!G4-BalanceSheet!F4)+(BalanceSheet!G5-BalanceSheet!F5)-(BalanceSheet!G12-BalanceSheet!F12))</f>
        <v>1.824778367999996</v>
      </c>
      <c r="H5" s="16">
        <f>-((BalanceSheet!H4-BalanceSheet!G4)+(BalanceSheet!H5-BalanceSheet!G5)-(BalanceSheet!H12-BalanceSheet!G12))</f>
        <v>1.6735824460800028</v>
      </c>
      <c r="I5" s="16">
        <f>-((BalanceSheet!I4-BalanceSheet!H4)+(BalanceSheet!I5-BalanceSheet!H5)-(BalanceSheet!I12-BalanceSheet!H12))</f>
        <v>1.4783311607039966</v>
      </c>
      <c r="J5" s="16">
        <f>-((BalanceSheet!J4-BalanceSheet!I4)+(BalanceSheet!J5-BalanceSheet!I5)-(BalanceSheet!J12-BalanceSheet!I12))</f>
        <v>1.3970229468652855</v>
      </c>
    </row>
    <row r="6" spans="1:10" x14ac:dyDescent="0.2">
      <c r="A6" s="4" t="s">
        <v>125</v>
      </c>
      <c r="B6" s="12">
        <v>11.25</v>
      </c>
      <c r="C6" s="12">
        <v>6.23</v>
      </c>
      <c r="D6" s="12">
        <v>11.57</v>
      </c>
      <c r="E6" s="12">
        <v>-8.33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</row>
    <row r="7" spans="1:10" x14ac:dyDescent="0.2">
      <c r="A7" s="7" t="s">
        <v>126</v>
      </c>
      <c r="B7" s="16">
        <f>B3+B4+B6</f>
        <v>122.14999999999996</v>
      </c>
      <c r="C7" s="16">
        <f t="shared" ref="C7:J7" si="0">C3+C4+C5+C6</f>
        <v>110.55000000000003</v>
      </c>
      <c r="D7" s="16">
        <f t="shared" si="0"/>
        <v>118.24000000000004</v>
      </c>
      <c r="E7" s="16">
        <f t="shared" si="0"/>
        <v>111.48000000000006</v>
      </c>
      <c r="F7" s="16">
        <f t="shared" si="0"/>
        <v>135.48339379200004</v>
      </c>
      <c r="G7" s="16">
        <f t="shared" si="0"/>
        <v>145.36813713408</v>
      </c>
      <c r="H7" s="16">
        <f t="shared" si="0"/>
        <v>154.25774900536322</v>
      </c>
      <c r="I7" s="16">
        <f t="shared" si="0"/>
        <v>162.14132262855173</v>
      </c>
      <c r="J7" s="16">
        <f t="shared" si="0"/>
        <v>169.75969835749351</v>
      </c>
    </row>
    <row r="8" spans="1:10" x14ac:dyDescent="0.2">
      <c r="A8" s="4" t="s">
        <v>127</v>
      </c>
      <c r="B8" s="12">
        <v>-10.71</v>
      </c>
      <c r="C8" s="12">
        <v>-10.96</v>
      </c>
      <c r="D8" s="12">
        <v>-9.4499999999999993</v>
      </c>
      <c r="E8" s="12">
        <v>-12.71</v>
      </c>
      <c r="F8" s="16">
        <f>-IncomeStatement!F3*Assumptions!B10</f>
        <v>-13.483584000000002</v>
      </c>
      <c r="G8" s="16">
        <f>-IncomeStatement!G3*Assumptions!C10</f>
        <v>-14.427434880000002</v>
      </c>
      <c r="H8" s="16">
        <f>-IncomeStatement!H3*Assumptions!D10</f>
        <v>-15.293080972800004</v>
      </c>
      <c r="I8" s="16">
        <f>-IncomeStatement!I3*Assumptions!E10</f>
        <v>-16.057735021440006</v>
      </c>
      <c r="J8" s="16">
        <f>-IncomeStatement!J3*Assumptions!F10</f>
        <v>-16.780333097404803</v>
      </c>
    </row>
    <row r="9" spans="1:10" x14ac:dyDescent="0.2">
      <c r="A9" s="7" t="s">
        <v>128</v>
      </c>
      <c r="B9" s="16">
        <f t="shared" ref="B9:J9" si="1">B7+B8</f>
        <v>111.43999999999997</v>
      </c>
      <c r="C9" s="16">
        <f t="shared" si="1"/>
        <v>99.590000000000032</v>
      </c>
      <c r="D9" s="16">
        <f t="shared" si="1"/>
        <v>108.79000000000003</v>
      </c>
      <c r="E9" s="16">
        <f t="shared" si="1"/>
        <v>98.770000000000067</v>
      </c>
      <c r="F9" s="16">
        <f t="shared" si="1"/>
        <v>121.99980979200004</v>
      </c>
      <c r="G9" s="16">
        <f t="shared" si="1"/>
        <v>130.94070225408001</v>
      </c>
      <c r="H9" s="16">
        <f t="shared" si="1"/>
        <v>138.96466803256322</v>
      </c>
      <c r="I9" s="16">
        <f t="shared" si="1"/>
        <v>146.08358760711172</v>
      </c>
      <c r="J9" s="16">
        <f t="shared" si="1"/>
        <v>152.97936526008871</v>
      </c>
    </row>
    <row r="10" spans="1:10" x14ac:dyDescent="0.2">
      <c r="A10" s="4" t="s">
        <v>129</v>
      </c>
      <c r="B10" s="12">
        <v>-89.4</v>
      </c>
      <c r="C10" s="12">
        <v>-77.55</v>
      </c>
      <c r="D10" s="12">
        <v>-94.95</v>
      </c>
      <c r="E10" s="12">
        <v>-90.71</v>
      </c>
      <c r="F10" s="16">
        <f>-Assumptions!B14</f>
        <v>-95</v>
      </c>
      <c r="G10" s="16">
        <f>-Assumptions!C14</f>
        <v>-95</v>
      </c>
      <c r="H10" s="16">
        <f>-Assumptions!D14</f>
        <v>-95</v>
      </c>
      <c r="I10" s="16">
        <f>-Assumptions!E14</f>
        <v>-95</v>
      </c>
      <c r="J10" s="16">
        <f>-Assumptions!F14</f>
        <v>-95</v>
      </c>
    </row>
    <row r="11" spans="1:10" x14ac:dyDescent="0.2">
      <c r="A11" s="4" t="s">
        <v>130</v>
      </c>
      <c r="B11" s="12">
        <v>-14.84</v>
      </c>
      <c r="C11" s="12">
        <v>-15.03</v>
      </c>
      <c r="D11" s="12">
        <v>-15.23</v>
      </c>
      <c r="E11" s="12">
        <v>-15.42</v>
      </c>
      <c r="F11" s="16">
        <f>-Assumptions!B15</f>
        <v>-15.5</v>
      </c>
      <c r="G11" s="16">
        <f>-Assumptions!C15</f>
        <v>-15.8</v>
      </c>
      <c r="H11" s="16">
        <f>-Assumptions!D15</f>
        <v>-16.100000000000001</v>
      </c>
      <c r="I11" s="16">
        <f>-Assumptions!E15</f>
        <v>-16.399999999999999</v>
      </c>
      <c r="J11" s="16">
        <f>-Assumptions!F15</f>
        <v>-16.7</v>
      </c>
    </row>
    <row r="12" spans="1:10" x14ac:dyDescent="0.2">
      <c r="A12" s="7" t="s">
        <v>131</v>
      </c>
      <c r="B12" s="16">
        <f t="shared" ref="B12:J12" si="2">B9+B10+B11</f>
        <v>7.1999999999999638</v>
      </c>
      <c r="C12" s="16">
        <f t="shared" si="2"/>
        <v>7.0100000000000353</v>
      </c>
      <c r="D12" s="16">
        <f t="shared" si="2"/>
        <v>-1.3899999999999686</v>
      </c>
      <c r="E12" s="16">
        <f t="shared" si="2"/>
        <v>-7.3599999999999266</v>
      </c>
      <c r="F12" s="16">
        <f t="shared" si="2"/>
        <v>11.499809792000036</v>
      </c>
      <c r="G12" s="16">
        <f t="shared" si="2"/>
        <v>20.140702254080008</v>
      </c>
      <c r="H12" s="16">
        <f t="shared" si="2"/>
        <v>27.864668032563223</v>
      </c>
      <c r="I12" s="16">
        <f t="shared" si="2"/>
        <v>34.683587607111726</v>
      </c>
      <c r="J12" s="16">
        <f t="shared" si="2"/>
        <v>41.27936526008871</v>
      </c>
    </row>
    <row r="14" spans="1:10" x14ac:dyDescent="0.2">
      <c r="A14" s="2" t="s">
        <v>132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showGridLines="0" workbookViewId="0">
      <selection activeCell="J12" sqref="J12"/>
    </sheetView>
  </sheetViews>
  <sheetFormatPr baseColWidth="10" defaultColWidth="8.83203125" defaultRowHeight="15" x14ac:dyDescent="0.2"/>
  <cols>
    <col min="1" max="1" width="34" customWidth="1"/>
    <col min="2" max="10" width="11.5" customWidth="1"/>
  </cols>
  <sheetData>
    <row r="1" spans="1:6" ht="18" customHeight="1" x14ac:dyDescent="0.2">
      <c r="A1" s="1" t="s">
        <v>133</v>
      </c>
    </row>
    <row r="2" spans="1:6" x14ac:dyDescent="0.2">
      <c r="B2" s="9" t="s">
        <v>27</v>
      </c>
      <c r="C2" s="9" t="s">
        <v>28</v>
      </c>
      <c r="D2" s="9" t="s">
        <v>29</v>
      </c>
      <c r="E2" s="9" t="s">
        <v>30</v>
      </c>
      <c r="F2" s="9" t="s">
        <v>31</v>
      </c>
    </row>
    <row r="3" spans="1:6" x14ac:dyDescent="0.2">
      <c r="A3" s="7" t="s">
        <v>134</v>
      </c>
      <c r="B3" s="20">
        <f>CashFlow!F9</f>
        <v>121.99980979200004</v>
      </c>
      <c r="C3" s="20">
        <f>CashFlow!G9</f>
        <v>130.94070225408001</v>
      </c>
      <c r="D3" s="20">
        <f>CashFlow!H9</f>
        <v>138.96466803256322</v>
      </c>
      <c r="E3" s="20">
        <f>CashFlow!I9</f>
        <v>146.08358760711172</v>
      </c>
      <c r="F3" s="20">
        <f>CashFlow!J9</f>
        <v>152.97936526008871</v>
      </c>
    </row>
    <row r="4" spans="1:6" x14ac:dyDescent="0.2">
      <c r="A4" s="4" t="s">
        <v>135</v>
      </c>
      <c r="B4" s="21">
        <v>1</v>
      </c>
      <c r="C4" s="21">
        <v>2</v>
      </c>
      <c r="D4" s="21">
        <v>3</v>
      </c>
      <c r="E4" s="21">
        <v>4</v>
      </c>
      <c r="F4" s="21">
        <v>5</v>
      </c>
    </row>
    <row r="5" spans="1:6" x14ac:dyDescent="0.2">
      <c r="A5" s="4" t="s">
        <v>136</v>
      </c>
      <c r="B5" s="22">
        <f>1/(1+Assumptions!$B$25)^B4</f>
        <v>0.91419480326903668</v>
      </c>
      <c r="C5" s="22">
        <f>1/(1+Assumptions!$B$25)^C4</f>
        <v>0.83575213832411266</v>
      </c>
      <c r="D5" s="22">
        <f>1/(1+Assumptions!$B$25)^D4</f>
        <v>0.76404026167688888</v>
      </c>
      <c r="E5" s="22">
        <f>1/(1+Assumptions!$B$25)^E4</f>
        <v>0.69848163671332664</v>
      </c>
      <c r="F5" s="22">
        <f>1/(1+Assumptions!$B$25)^F4</f>
        <v>0.63854828246217432</v>
      </c>
    </row>
    <row r="6" spans="1:6" x14ac:dyDescent="0.2">
      <c r="A6" s="4" t="s">
        <v>137</v>
      </c>
      <c r="B6" s="16">
        <f>B3*B5</f>
        <v>111.53159211165737</v>
      </c>
      <c r="C6" s="16">
        <f>C3*C5</f>
        <v>109.43397190250832</v>
      </c>
      <c r="D6" s="16">
        <f>D3*D5</f>
        <v>106.17460132744161</v>
      </c>
      <c r="E6" s="16">
        <f>E3*E5</f>
        <v>102.03670336877003</v>
      </c>
      <c r="F6" s="16">
        <f>F3*F5</f>
        <v>97.684710938983258</v>
      </c>
    </row>
    <row r="8" spans="1:6" x14ac:dyDescent="0.2">
      <c r="A8" s="4" t="s">
        <v>138</v>
      </c>
      <c r="B8" s="16">
        <f>SUM(B6:F6)</f>
        <v>526.86157964936058</v>
      </c>
    </row>
    <row r="9" spans="1:6" x14ac:dyDescent="0.2">
      <c r="A9" s="4" t="s">
        <v>139</v>
      </c>
      <c r="B9" s="16">
        <f>F3*(1+Assumptions!B26)/(Assumptions!B25-Assumptions!B26)</f>
        <v>2467.4567711607992</v>
      </c>
    </row>
    <row r="10" spans="1:6" x14ac:dyDescent="0.2">
      <c r="A10" s="4" t="s">
        <v>140</v>
      </c>
      <c r="B10" s="16">
        <f>B9*F5</f>
        <v>1575.5902832743907</v>
      </c>
    </row>
    <row r="11" spans="1:6" x14ac:dyDescent="0.2">
      <c r="A11" s="7" t="s">
        <v>141</v>
      </c>
      <c r="B11" s="16">
        <f>B8+B10</f>
        <v>2102.4518629237514</v>
      </c>
    </row>
    <row r="12" spans="1:6" x14ac:dyDescent="0.2">
      <c r="A12" s="4" t="s">
        <v>142</v>
      </c>
      <c r="B12" s="20">
        <f>Assumptions!B31</f>
        <v>16.2</v>
      </c>
    </row>
    <row r="13" spans="1:6" x14ac:dyDescent="0.2">
      <c r="A13" s="7" t="s">
        <v>143</v>
      </c>
      <c r="B13" s="16">
        <f>B11-B12</f>
        <v>2086.2518629237516</v>
      </c>
    </row>
    <row r="14" spans="1:6" x14ac:dyDescent="0.2">
      <c r="A14" s="4" t="s">
        <v>78</v>
      </c>
      <c r="B14" s="23">
        <f>Assumptions!B30</f>
        <v>14.686999999999999</v>
      </c>
    </row>
    <row r="15" spans="1:6" x14ac:dyDescent="0.2">
      <c r="A15" s="7" t="s">
        <v>144</v>
      </c>
      <c r="B15" s="8">
        <f>B13/B14</f>
        <v>142.04751568895975</v>
      </c>
    </row>
    <row r="16" spans="1:6" x14ac:dyDescent="0.2">
      <c r="A16" s="4" t="s">
        <v>76</v>
      </c>
      <c r="B16" s="5">
        <f>Assumptions!B29</f>
        <v>333.74</v>
      </c>
    </row>
    <row r="17" spans="1:7" x14ac:dyDescent="0.2">
      <c r="A17" s="4" t="s">
        <v>145</v>
      </c>
      <c r="B17" s="6">
        <f>B15/B16-1</f>
        <v>-0.57437671334284257</v>
      </c>
    </row>
    <row r="20" spans="1:7" x14ac:dyDescent="0.2">
      <c r="A20" s="7" t="s">
        <v>146</v>
      </c>
    </row>
    <row r="21" spans="1:7" x14ac:dyDescent="0.2">
      <c r="C21" s="24">
        <v>0.02</v>
      </c>
      <c r="D21" s="24">
        <v>2.5000000000000001E-2</v>
      </c>
      <c r="E21" s="24">
        <v>0.03</v>
      </c>
      <c r="F21" s="24">
        <v>3.5000000000000003E-2</v>
      </c>
      <c r="G21" s="24">
        <v>0.04</v>
      </c>
    </row>
    <row r="22" spans="1:7" x14ac:dyDescent="0.2">
      <c r="B22" s="24">
        <v>8.4000000000000005E-2</v>
      </c>
      <c r="C22" s="8">
        <f>(NPV($B22,$B$3:$F$3)+$F$3*(1+C$21)/($B22-C$21)/(1+$B22)^5-Assumptions!$B$31)/Assumptions!$B$30</f>
        <v>146.6488277056755</v>
      </c>
      <c r="D22" s="8">
        <f>(NPV($B22,$B$3:$F$3)+$F$3*(1+D$21)/($B22-D$21)/(1+$B22)^5-Assumptions!$B$31)/Assumptions!$B$30</f>
        <v>156.63779634501103</v>
      </c>
      <c r="E22" s="8">
        <f>(NPV($B22,$B$3:$F$3)+$F$3*(1+E$21)/($B22-E$21)/(1+$B22)^5-Assumptions!$B$31)/Assumptions!$B$30</f>
        <v>168.47657399163097</v>
      </c>
      <c r="F22" s="8">
        <f>(NPV($B22,$B$3:$F$3)+$F$3*(1+F$21)/($B22-F$21)/(1+$B22)^5-Assumptions!$B$31)/Assumptions!$B$30</f>
        <v>182.73142870898963</v>
      </c>
      <c r="G22" s="8">
        <f>(NPV($B22,$B$3:$F$3)+$F$3*(1+G$21)/($B22-G$21)/(1+$B22)^5-Assumptions!$B$31)/Assumptions!$B$30</f>
        <v>200.22602313483895</v>
      </c>
    </row>
    <row r="23" spans="1:7" x14ac:dyDescent="0.2">
      <c r="B23" s="24">
        <v>8.8999999999999996E-2</v>
      </c>
      <c r="C23" s="8">
        <f>(NPV($B23,$B$3:$F$3)+$F$3*(1+C$21)/($B23-C$21)/(1+$B23)^5-Assumptions!$B$31)/Assumptions!$B$30</f>
        <v>135.77551899702934</v>
      </c>
      <c r="D23" s="8">
        <f>(NPV($B23,$B$3:$F$3)+$F$3*(1+D$21)/($B23-D$21)/(1+$B23)^5-Assumptions!$B$31)/Assumptions!$B$30</f>
        <v>144.16102318819225</v>
      </c>
      <c r="E23" s="8">
        <f>(NPV($B23,$B$3:$F$3)+$F$3*(1+E$21)/($B23-E$21)/(1+$B23)^5-Assumptions!$B$31)/Assumptions!$B$30</f>
        <v>153.96779927616242</v>
      </c>
      <c r="F23" s="8">
        <f>(NPV($B23,$B$3:$F$3)+$F$3*(1+F$21)/($B23-F$21)/(1+$B23)^5-Assumptions!$B$31)/Assumptions!$B$30</f>
        <v>165.59064501005301</v>
      </c>
      <c r="G23" s="8">
        <f>(NPV($B23,$B$3:$F$3)+$F$3*(1+G$21)/($B23-G$21)/(1+$B23)^5-Assumptions!$B$31)/Assumptions!$B$30</f>
        <v>179.58550007739066</v>
      </c>
    </row>
    <row r="24" spans="1:7" x14ac:dyDescent="0.2">
      <c r="B24" s="24">
        <v>9.4E-2</v>
      </c>
      <c r="C24" s="8">
        <f>(NPV($B24,$B$3:$F$3)+$F$3*(1+C$21)/($B24-C$21)/(1+$B24)^5-Assumptions!$B$31)/Assumptions!$B$30</f>
        <v>126.37421675726753</v>
      </c>
      <c r="D24" s="8">
        <f>(NPV($B24,$B$3:$F$3)+$F$3*(1+D$21)/($B24-D$21)/(1+$B24)^5-Assumptions!$B$31)/Assumptions!$B$30</f>
        <v>133.49486718570245</v>
      </c>
      <c r="E24" s="8">
        <f>(NPV($B24,$B$3:$F$3)+$F$3*(1+E$21)/($B24-E$21)/(1+$B24)^5-Assumptions!$B$31)/Assumptions!$B$30</f>
        <v>141.72811924358035</v>
      </c>
      <c r="F24" s="8">
        <f>(NPV($B24,$B$3:$F$3)+$F$3*(1+F$21)/($B24-F$21)/(1+$B24)^5-Assumptions!$B$31)/Assumptions!$B$30</f>
        <v>151.35683775194599</v>
      </c>
      <c r="G24" s="8">
        <f>(NPV($B24,$B$3:$F$3)+$F$3*(1+G$21)/($B24-G$21)/(1+$B24)^5-Assumptions!$B$31)/Assumptions!$B$30</f>
        <v>162.76865228037931</v>
      </c>
    </row>
    <row r="25" spans="1:7" x14ac:dyDescent="0.2">
      <c r="B25" s="24">
        <v>9.9000000000000005E-2</v>
      </c>
      <c r="C25" s="8">
        <f>(NPV($B25,$B$3:$F$3)+$F$3*(1+C$21)/($B25-C$21)/(1+$B25)^5-Assumptions!$B$31)/Assumptions!$B$30</f>
        <v>118.16536967446078</v>
      </c>
      <c r="D25" s="8">
        <f>(NPV($B25,$B$3:$F$3)+$F$3*(1+D$21)/($B25-D$21)/(1+$B25)^5-Assumptions!$B$31)/Assumptions!$B$30</f>
        <v>124.27226088387984</v>
      </c>
      <c r="E25" s="8">
        <f>(NPV($B25,$B$3:$F$3)+$F$3*(1+E$21)/($B25-E$21)/(1+$B25)^5-Assumptions!$B$31)/Assumptions!$B$30</f>
        <v>131.26420879031622</v>
      </c>
      <c r="F25" s="8">
        <f>(NPV($B25,$B$3:$F$3)+$F$3*(1+F$21)/($B25-F$21)/(1+$B25)^5-Assumptions!$B$31)/Assumptions!$B$30</f>
        <v>139.3486485571332</v>
      </c>
      <c r="G25" s="8">
        <f>(NPV($B25,$B$3:$F$3)+$F$3*(1+G$21)/($B25-G$21)/(1+$B25)^5-Assumptions!$B$31)/Assumptions!$B$30</f>
        <v>148.80333235222432</v>
      </c>
    </row>
    <row r="26" spans="1:7" x14ac:dyDescent="0.2">
      <c r="B26" s="24">
        <v>0.104</v>
      </c>
      <c r="C26" s="8">
        <f>(NPV($B26,$B$3:$F$3)+$F$3*(1+C$21)/($B26-C$21)/(1+$B26)^5-Assumptions!$B$31)/Assumptions!$B$30</f>
        <v>110.93598776150142</v>
      </c>
      <c r="D26" s="8">
        <f>(NPV($B26,$B$3:$F$3)+$F$3*(1+D$21)/($B26-D$21)/(1+$B26)^5-Assumptions!$B$31)/Assumptions!$B$30</f>
        <v>116.21906661851605</v>
      </c>
      <c r="E26" s="8">
        <f>(NPV($B26,$B$3:$F$3)+$F$3*(1+E$21)/($B26-E$21)/(1+$B26)^5-Assumptions!$B$31)/Assumptions!$B$30</f>
        <v>122.21607505080291</v>
      </c>
      <c r="F26" s="8">
        <f>(NPV($B26,$B$3:$F$3)+$F$3*(1+F$21)/($B26-F$21)/(1+$B26)^5-Assumptions!$B$31)/Assumptions!$B$30</f>
        <v>129.08221513994295</v>
      </c>
      <c r="G26" s="8">
        <f>(NPV($B26,$B$3:$F$3)+$F$3*(1+G$21)/($B26-G$21)/(1+$B26)^5-Assumptions!$B$31)/Assumptions!$B$30</f>
        <v>137.02118961801114</v>
      </c>
    </row>
    <row r="28" spans="1:7" x14ac:dyDescent="0.2">
      <c r="A28" s="2" t="s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"/>
  <sheetViews>
    <sheetView showGridLines="0" workbookViewId="0"/>
  </sheetViews>
  <sheetFormatPr baseColWidth="10" defaultColWidth="8.83203125" defaultRowHeight="15" x14ac:dyDescent="0.2"/>
  <cols>
    <col min="1" max="1" width="30" customWidth="1"/>
    <col min="2" max="10" width="11.5" customWidth="1"/>
  </cols>
  <sheetData>
    <row r="1" spans="1:9" ht="18" customHeight="1" x14ac:dyDescent="0.2">
      <c r="A1" s="1" t="s">
        <v>148</v>
      </c>
    </row>
    <row r="2" spans="1:9" x14ac:dyDescent="0.2">
      <c r="A2" s="3" t="s">
        <v>149</v>
      </c>
      <c r="B2" s="3" t="s">
        <v>150</v>
      </c>
      <c r="C2" s="3" t="s">
        <v>151</v>
      </c>
      <c r="D2" s="3" t="s">
        <v>152</v>
      </c>
      <c r="E2" s="3" t="s">
        <v>153</v>
      </c>
      <c r="F2" s="3" t="s">
        <v>154</v>
      </c>
      <c r="G2" s="3" t="s">
        <v>155</v>
      </c>
      <c r="H2" s="3" t="s">
        <v>156</v>
      </c>
      <c r="I2" s="3" t="s">
        <v>157</v>
      </c>
    </row>
    <row r="3" spans="1:9" x14ac:dyDescent="0.2">
      <c r="A3" s="7" t="s">
        <v>158</v>
      </c>
      <c r="B3" s="14">
        <v>333.74</v>
      </c>
      <c r="C3" s="12">
        <v>4901.8</v>
      </c>
      <c r="D3" s="12">
        <v>4918</v>
      </c>
      <c r="E3" s="25">
        <v>40.5</v>
      </c>
      <c r="F3" s="25">
        <v>34.6</v>
      </c>
      <c r="G3" s="25">
        <v>30.7</v>
      </c>
      <c r="H3" s="11">
        <v>0.16600000000000001</v>
      </c>
      <c r="I3" s="26">
        <f>IncomeStatement!E16/IncomeStatement!E3</f>
        <v>0.26915128796616694</v>
      </c>
    </row>
    <row r="4" spans="1:9" x14ac:dyDescent="0.2">
      <c r="A4" s="4" t="s">
        <v>159</v>
      </c>
      <c r="B4" s="14">
        <v>393.82</v>
      </c>
      <c r="C4" s="12">
        <v>2925.5</v>
      </c>
      <c r="D4" s="12">
        <v>2972.7</v>
      </c>
      <c r="E4" s="25">
        <v>23.5</v>
      </c>
      <c r="F4" s="25">
        <v>20.3</v>
      </c>
      <c r="G4" s="25">
        <v>16.100000000000001</v>
      </c>
      <c r="H4" s="11">
        <v>0.183</v>
      </c>
      <c r="I4" s="11">
        <v>0.39300000000000002</v>
      </c>
    </row>
    <row r="5" spans="1:9" x14ac:dyDescent="0.2">
      <c r="A5" s="4" t="s">
        <v>160</v>
      </c>
      <c r="B5" s="14">
        <v>346.77</v>
      </c>
      <c r="C5" s="12">
        <v>4231.5</v>
      </c>
      <c r="D5" s="12">
        <v>4170.5</v>
      </c>
      <c r="E5" s="25">
        <v>26.5</v>
      </c>
      <c r="F5" s="25">
        <v>23.7</v>
      </c>
      <c r="G5" s="25">
        <v>25.9</v>
      </c>
      <c r="H5" s="11">
        <v>0.218</v>
      </c>
      <c r="I5" s="11">
        <v>0.379</v>
      </c>
    </row>
    <row r="6" spans="1:9" x14ac:dyDescent="0.2">
      <c r="A6" s="4" t="s">
        <v>161</v>
      </c>
      <c r="B6" s="14">
        <v>202.81</v>
      </c>
      <c r="C6" s="12">
        <v>4912.3</v>
      </c>
      <c r="D6" s="12">
        <v>4867.6000000000004</v>
      </c>
      <c r="E6" s="25">
        <v>31.1</v>
      </c>
      <c r="F6" s="25">
        <v>15.8</v>
      </c>
      <c r="G6" s="25">
        <v>29.4</v>
      </c>
      <c r="H6" s="11">
        <v>0.85199999999999998</v>
      </c>
      <c r="I6" s="11">
        <v>0.63</v>
      </c>
    </row>
    <row r="7" spans="1:9" x14ac:dyDescent="0.2">
      <c r="A7" s="4" t="s">
        <v>162</v>
      </c>
      <c r="B7" s="14">
        <v>646.01</v>
      </c>
      <c r="C7" s="12">
        <v>1639.8</v>
      </c>
      <c r="D7" s="12">
        <v>1645.4</v>
      </c>
      <c r="E7" s="25">
        <v>23.5</v>
      </c>
      <c r="F7" s="25">
        <v>17.8</v>
      </c>
      <c r="G7" s="25">
        <v>15.1</v>
      </c>
      <c r="H7" s="11">
        <v>0.33100000000000002</v>
      </c>
      <c r="I7" s="11">
        <v>0.32800000000000001</v>
      </c>
    </row>
    <row r="8" spans="1:9" x14ac:dyDescent="0.2">
      <c r="A8" s="7" t="s">
        <v>163</v>
      </c>
      <c r="E8" s="27">
        <f>MEDIAN(E4:E7)</f>
        <v>25</v>
      </c>
      <c r="F8" s="27">
        <f>MEDIAN(F4:F7)</f>
        <v>19.05</v>
      </c>
      <c r="G8" s="27">
        <f>MEDIAN(G4:G7)</f>
        <v>21</v>
      </c>
      <c r="H8" s="6">
        <f>MEDIAN(H4:H7)</f>
        <v>0.27450000000000002</v>
      </c>
      <c r="I8" s="6">
        <f>MEDIAN(I4:I7)</f>
        <v>0.38600000000000001</v>
      </c>
    </row>
    <row r="10" spans="1:9" x14ac:dyDescent="0.2">
      <c r="A10" s="4" t="s">
        <v>164</v>
      </c>
      <c r="B10" s="6">
        <f>F3/F8-1</f>
        <v>0.81627296587926512</v>
      </c>
    </row>
    <row r="11" spans="1:9" x14ac:dyDescent="0.2">
      <c r="A11" s="4" t="s">
        <v>165</v>
      </c>
      <c r="B11" s="5">
        <f>IncomeStatement!F18</f>
        <v>8.2515457882481122</v>
      </c>
    </row>
    <row r="12" spans="1:9" x14ac:dyDescent="0.2">
      <c r="A12" s="7" t="s">
        <v>166</v>
      </c>
      <c r="B12" s="8">
        <f>F8*B11</f>
        <v>157.19194726612653</v>
      </c>
    </row>
    <row r="14" spans="1:9" x14ac:dyDescent="0.2">
      <c r="A14" s="2" t="s">
        <v>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6"/>
  <sheetViews>
    <sheetView showGridLines="0" workbookViewId="0"/>
  </sheetViews>
  <sheetFormatPr baseColWidth="10" defaultColWidth="8.83203125" defaultRowHeight="15" x14ac:dyDescent="0.2"/>
  <cols>
    <col min="1" max="1" width="34" customWidth="1"/>
    <col min="2" max="5" width="11.5" customWidth="1"/>
  </cols>
  <sheetData>
    <row r="1" spans="1:5" ht="18" x14ac:dyDescent="0.2">
      <c r="A1" s="29" t="s">
        <v>168</v>
      </c>
    </row>
    <row r="2" spans="1:5" x14ac:dyDescent="0.2">
      <c r="B2" s="30" t="s">
        <v>85</v>
      </c>
      <c r="C2" s="30" t="s">
        <v>86</v>
      </c>
      <c r="D2" s="30" t="s">
        <v>87</v>
      </c>
      <c r="E2" s="30" t="s">
        <v>88</v>
      </c>
    </row>
    <row r="3" spans="1:5" x14ac:dyDescent="0.2">
      <c r="A3" s="31" t="s">
        <v>169</v>
      </c>
      <c r="B3" s="32">
        <v>205.5</v>
      </c>
      <c r="C3" s="32">
        <v>200.6</v>
      </c>
      <c r="D3" s="32">
        <v>201.2</v>
      </c>
      <c r="E3" s="32">
        <v>209.6</v>
      </c>
    </row>
    <row r="4" spans="1:5" x14ac:dyDescent="0.2">
      <c r="A4" s="31" t="s">
        <v>170</v>
      </c>
      <c r="B4" s="32">
        <v>40.200000000000003</v>
      </c>
      <c r="C4" s="32">
        <v>29.4</v>
      </c>
      <c r="D4" s="32">
        <v>30</v>
      </c>
      <c r="E4" s="32">
        <v>33.700000000000003</v>
      </c>
    </row>
    <row r="5" spans="1:5" x14ac:dyDescent="0.2">
      <c r="A5" s="31" t="s">
        <v>171</v>
      </c>
      <c r="B5" s="32">
        <v>29.3</v>
      </c>
      <c r="C5" s="32">
        <v>28.3</v>
      </c>
      <c r="D5" s="32">
        <v>26.7</v>
      </c>
      <c r="E5" s="32">
        <v>28</v>
      </c>
    </row>
    <row r="6" spans="1:5" x14ac:dyDescent="0.2">
      <c r="A6" s="31" t="s">
        <v>172</v>
      </c>
      <c r="B6" s="32">
        <v>41.2</v>
      </c>
      <c r="C6" s="32">
        <v>39.799999999999997</v>
      </c>
      <c r="D6" s="32">
        <v>37</v>
      </c>
      <c r="E6" s="32">
        <v>35.700000000000003</v>
      </c>
    </row>
    <row r="7" spans="1:5" x14ac:dyDescent="0.2">
      <c r="A7" s="31" t="s">
        <v>173</v>
      </c>
      <c r="B7" s="32">
        <v>78.099999999999994</v>
      </c>
      <c r="C7" s="32">
        <v>85.2</v>
      </c>
      <c r="D7" s="32">
        <v>96.2</v>
      </c>
      <c r="E7" s="32">
        <v>109.2</v>
      </c>
    </row>
    <row r="8" spans="1:5" x14ac:dyDescent="0.2">
      <c r="A8" s="33" t="s">
        <v>174</v>
      </c>
      <c r="B8" s="34">
        <f>SUM(B3:B7)</f>
        <v>394.29999999999995</v>
      </c>
      <c r="C8" s="34">
        <f>SUM(C3:C7)</f>
        <v>383.3</v>
      </c>
      <c r="D8" s="34">
        <f>SUM(D3:D7)</f>
        <v>391.09999999999997</v>
      </c>
      <c r="E8" s="34">
        <f>SUM(E3:E7)</f>
        <v>416.2</v>
      </c>
    </row>
    <row r="9" spans="1:5" x14ac:dyDescent="0.2">
      <c r="A9" s="31" t="s">
        <v>175</v>
      </c>
      <c r="B9" s="35">
        <f>B8-IncomeStatement!B3</f>
        <v>-3.0000000000029559E-2</v>
      </c>
      <c r="C9" s="35">
        <f>C8-IncomeStatement!C3</f>
        <v>9.9999999999909051E-3</v>
      </c>
      <c r="D9" s="35">
        <f>D8-IncomeStatement!D3</f>
        <v>5.999999999994543E-2</v>
      </c>
      <c r="E9" s="35">
        <f>E8-IncomeStatement!E3</f>
        <v>3.999999999996362E-2</v>
      </c>
    </row>
    <row r="11" spans="1:5" x14ac:dyDescent="0.2">
      <c r="A11" s="36" t="s">
        <v>176</v>
      </c>
    </row>
    <row r="12" spans="1:5" x14ac:dyDescent="0.2">
      <c r="A12" s="31" t="s">
        <v>169</v>
      </c>
      <c r="B12" s="37">
        <f t="shared" ref="B12:E16" si="0">B3/B$8</f>
        <v>0.52117676895764653</v>
      </c>
      <c r="C12" s="37">
        <f t="shared" si="0"/>
        <v>0.52334985650926169</v>
      </c>
      <c r="D12" s="37">
        <f t="shared" si="0"/>
        <v>0.51444643313730509</v>
      </c>
      <c r="E12" s="37">
        <f t="shared" si="0"/>
        <v>0.50360403652090346</v>
      </c>
    </row>
    <row r="13" spans="1:5" x14ac:dyDescent="0.2">
      <c r="A13" s="31" t="s">
        <v>170</v>
      </c>
      <c r="B13" s="37">
        <f t="shared" si="0"/>
        <v>0.10195282779609437</v>
      </c>
      <c r="C13" s="37">
        <f t="shared" si="0"/>
        <v>7.6702321941038348E-2</v>
      </c>
      <c r="D13" s="37">
        <f t="shared" si="0"/>
        <v>7.6706724622858616E-2</v>
      </c>
      <c r="E13" s="37">
        <f t="shared" si="0"/>
        <v>8.097068716962999E-2</v>
      </c>
    </row>
    <row r="14" spans="1:5" x14ac:dyDescent="0.2">
      <c r="A14" s="31" t="s">
        <v>171</v>
      </c>
      <c r="B14" s="37">
        <f t="shared" si="0"/>
        <v>7.4308901851382211E-2</v>
      </c>
      <c r="C14" s="37">
        <f t="shared" si="0"/>
        <v>7.3832507174536918E-2</v>
      </c>
      <c r="D14" s="37">
        <f t="shared" si="0"/>
        <v>6.8268984914344161E-2</v>
      </c>
      <c r="E14" s="37">
        <f t="shared" si="0"/>
        <v>6.7275348390197026E-2</v>
      </c>
    </row>
    <row r="15" spans="1:5" x14ac:dyDescent="0.2">
      <c r="A15" s="31" t="s">
        <v>172</v>
      </c>
      <c r="B15" s="37">
        <f t="shared" si="0"/>
        <v>0.10448896779102208</v>
      </c>
      <c r="C15" s="37">
        <f t="shared" si="0"/>
        <v>0.10383511609705191</v>
      </c>
      <c r="D15" s="37">
        <f t="shared" si="0"/>
        <v>9.4604960368192284E-2</v>
      </c>
      <c r="E15" s="37">
        <f t="shared" si="0"/>
        <v>8.5776069197501206E-2</v>
      </c>
    </row>
    <row r="16" spans="1:5" x14ac:dyDescent="0.2">
      <c r="A16" s="31" t="s">
        <v>173</v>
      </c>
      <c r="B16" s="37">
        <f t="shared" si="0"/>
        <v>0.19807253360385493</v>
      </c>
      <c r="C16" s="37">
        <f t="shared" si="0"/>
        <v>0.22228019827811113</v>
      </c>
      <c r="D16" s="37">
        <f t="shared" si="0"/>
        <v>0.24597289695729996</v>
      </c>
      <c r="E16" s="37">
        <f t="shared" si="0"/>
        <v>0.26237385872176838</v>
      </c>
    </row>
    <row r="18" spans="1:5" x14ac:dyDescent="0.2">
      <c r="A18" s="36" t="s">
        <v>177</v>
      </c>
    </row>
    <row r="19" spans="1:5" x14ac:dyDescent="0.2">
      <c r="A19" s="31" t="s">
        <v>169</v>
      </c>
      <c r="C19" s="37">
        <f t="shared" ref="C19:E23" si="1">C3/B3-1</f>
        <v>-2.3844282238442815E-2</v>
      </c>
      <c r="D19" s="37">
        <f t="shared" si="1"/>
        <v>2.9910269192421346E-3</v>
      </c>
      <c r="E19" s="37">
        <f t="shared" si="1"/>
        <v>4.1749502982107334E-2</v>
      </c>
    </row>
    <row r="20" spans="1:5" x14ac:dyDescent="0.2">
      <c r="A20" s="31" t="s">
        <v>170</v>
      </c>
      <c r="C20" s="37">
        <f t="shared" si="1"/>
        <v>-0.26865671641791056</v>
      </c>
      <c r="D20" s="37">
        <f t="shared" si="1"/>
        <v>2.0408163265306145E-2</v>
      </c>
      <c r="E20" s="37">
        <f t="shared" si="1"/>
        <v>0.12333333333333352</v>
      </c>
    </row>
    <row r="21" spans="1:5" x14ac:dyDescent="0.2">
      <c r="A21" s="31" t="s">
        <v>171</v>
      </c>
      <c r="C21" s="37">
        <f t="shared" si="1"/>
        <v>-3.4129692832764458E-2</v>
      </c>
      <c r="D21" s="37">
        <f t="shared" si="1"/>
        <v>-5.6537102473498302E-2</v>
      </c>
      <c r="E21" s="37">
        <f t="shared" si="1"/>
        <v>4.8689138576779145E-2</v>
      </c>
    </row>
    <row r="22" spans="1:5" x14ac:dyDescent="0.2">
      <c r="A22" s="31" t="s">
        <v>172</v>
      </c>
      <c r="C22" s="37">
        <f t="shared" si="1"/>
        <v>-3.3980582524271941E-2</v>
      </c>
      <c r="D22" s="37">
        <f t="shared" si="1"/>
        <v>-7.0351758793969821E-2</v>
      </c>
      <c r="E22" s="37">
        <f t="shared" si="1"/>
        <v>-3.5135135135135109E-2</v>
      </c>
    </row>
    <row r="23" spans="1:5" x14ac:dyDescent="0.2">
      <c r="A23" s="31" t="s">
        <v>173</v>
      </c>
      <c r="C23" s="37">
        <f t="shared" si="1"/>
        <v>9.090909090909105E-2</v>
      </c>
      <c r="D23" s="37">
        <f t="shared" si="1"/>
        <v>0.12910798122065725</v>
      </c>
      <c r="E23" s="37">
        <f t="shared" si="1"/>
        <v>0.13513513513513509</v>
      </c>
    </row>
    <row r="25" spans="1:5" x14ac:dyDescent="0.2">
      <c r="A25" s="36" t="s">
        <v>178</v>
      </c>
    </row>
    <row r="26" spans="1:5" x14ac:dyDescent="0.2">
      <c r="A26" s="31" t="s">
        <v>179</v>
      </c>
    </row>
    <row r="27" spans="1:5" x14ac:dyDescent="0.2">
      <c r="A27" s="31" t="s">
        <v>180</v>
      </c>
    </row>
    <row r="28" spans="1:5" x14ac:dyDescent="0.2">
      <c r="A28" s="31" t="s">
        <v>181</v>
      </c>
    </row>
    <row r="29" spans="1:5" x14ac:dyDescent="0.2">
      <c r="A29" s="31" t="s">
        <v>182</v>
      </c>
    </row>
    <row r="30" spans="1:5" x14ac:dyDescent="0.2">
      <c r="A30" s="31" t="s">
        <v>183</v>
      </c>
    </row>
    <row r="31" spans="1:5" x14ac:dyDescent="0.2">
      <c r="A31" s="31" t="s">
        <v>184</v>
      </c>
    </row>
    <row r="32" spans="1:5" x14ac:dyDescent="0.2">
      <c r="A32" s="31" t="s">
        <v>185</v>
      </c>
    </row>
    <row r="33" spans="1:1" x14ac:dyDescent="0.2">
      <c r="A33" s="31" t="s">
        <v>186</v>
      </c>
    </row>
    <row r="34" spans="1:1" x14ac:dyDescent="0.2">
      <c r="A34" s="31" t="s">
        <v>187</v>
      </c>
    </row>
    <row r="36" spans="1:1" x14ac:dyDescent="0.2">
      <c r="A36" s="38" t="s">
        <v>188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4"/>
  <sheetViews>
    <sheetView showGridLines="0" workbookViewId="0">
      <selection activeCell="D35" sqref="D35"/>
    </sheetView>
  </sheetViews>
  <sheetFormatPr baseColWidth="10" defaultColWidth="8.83203125" defaultRowHeight="15" x14ac:dyDescent="0.2"/>
  <cols>
    <col min="1" max="1" width="44" customWidth="1"/>
    <col min="2" max="10" width="11.5" customWidth="1"/>
  </cols>
  <sheetData>
    <row r="1" spans="1:4" ht="18" customHeight="1" x14ac:dyDescent="0.2">
      <c r="A1" s="1" t="s">
        <v>189</v>
      </c>
    </row>
    <row r="3" spans="1:4" x14ac:dyDescent="0.2">
      <c r="A3" s="7" t="s">
        <v>190</v>
      </c>
    </row>
    <row r="4" spans="1:4" x14ac:dyDescent="0.2">
      <c r="A4" s="3" t="s">
        <v>191</v>
      </c>
      <c r="B4" s="3" t="s">
        <v>192</v>
      </c>
      <c r="C4" s="3" t="s">
        <v>193</v>
      </c>
      <c r="D4" s="3" t="s">
        <v>194</v>
      </c>
    </row>
    <row r="5" spans="1:4" x14ac:dyDescent="0.2">
      <c r="A5" s="4" t="s">
        <v>195</v>
      </c>
      <c r="B5" s="14">
        <v>1.43</v>
      </c>
      <c r="C5" s="14">
        <v>1.57</v>
      </c>
      <c r="D5" s="11">
        <v>0.10100000000000001</v>
      </c>
    </row>
    <row r="6" spans="1:4" x14ac:dyDescent="0.2">
      <c r="A6" s="4" t="s">
        <v>196</v>
      </c>
      <c r="B6" s="14">
        <v>1.77</v>
      </c>
      <c r="C6" s="14">
        <v>1.85</v>
      </c>
      <c r="D6" s="11">
        <v>4.4999999999999998E-2</v>
      </c>
    </row>
    <row r="7" spans="1:4" x14ac:dyDescent="0.2">
      <c r="A7" s="4" t="s">
        <v>197</v>
      </c>
      <c r="B7" s="14">
        <v>2.67</v>
      </c>
      <c r="C7" s="14">
        <v>2.84</v>
      </c>
      <c r="D7" s="11">
        <v>6.3E-2</v>
      </c>
    </row>
    <row r="8" spans="1:4" x14ac:dyDescent="0.2">
      <c r="A8" s="4" t="s">
        <v>198</v>
      </c>
      <c r="B8" s="14">
        <v>1.94</v>
      </c>
      <c r="C8" s="14">
        <v>2.0099999999999998</v>
      </c>
      <c r="D8" s="11">
        <v>3.5000000000000003E-2</v>
      </c>
    </row>
    <row r="10" spans="1:4" x14ac:dyDescent="0.2">
      <c r="A10" s="4" t="s">
        <v>199</v>
      </c>
      <c r="B10" s="12">
        <v>111.2</v>
      </c>
    </row>
    <row r="11" spans="1:4" x14ac:dyDescent="0.2">
      <c r="A11" s="4" t="s">
        <v>200</v>
      </c>
      <c r="B11" s="12">
        <v>95.4</v>
      </c>
    </row>
    <row r="12" spans="1:4" x14ac:dyDescent="0.2">
      <c r="A12" s="7" t="s">
        <v>201</v>
      </c>
      <c r="B12" s="6">
        <f>B10/B11-1</f>
        <v>0.16561844863731645</v>
      </c>
    </row>
    <row r="14" spans="1:4" x14ac:dyDescent="0.2">
      <c r="A14" s="4" t="s">
        <v>202</v>
      </c>
      <c r="B14" s="28" t="s">
        <v>203</v>
      </c>
    </row>
    <row r="15" spans="1:4" x14ac:dyDescent="0.2">
      <c r="A15" s="4" t="s">
        <v>204</v>
      </c>
      <c r="B15" s="14">
        <v>1.89</v>
      </c>
    </row>
    <row r="17" spans="1:1" x14ac:dyDescent="0.2">
      <c r="A17" s="7" t="s">
        <v>205</v>
      </c>
    </row>
    <row r="18" spans="1:1" x14ac:dyDescent="0.2">
      <c r="A18" s="4" t="s">
        <v>206</v>
      </c>
    </row>
    <row r="19" spans="1:1" x14ac:dyDescent="0.2">
      <c r="A19" s="4" t="s">
        <v>207</v>
      </c>
    </row>
    <row r="20" spans="1:1" x14ac:dyDescent="0.2">
      <c r="A20" s="4" t="s">
        <v>208</v>
      </c>
    </row>
    <row r="21" spans="1:1" x14ac:dyDescent="0.2">
      <c r="A21" s="4" t="s">
        <v>209</v>
      </c>
    </row>
    <row r="22" spans="1:1" x14ac:dyDescent="0.2">
      <c r="A22" s="4" t="s">
        <v>210</v>
      </c>
    </row>
    <row r="24" spans="1:1" x14ac:dyDescent="0.2">
      <c r="A24" s="2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Assumptions</vt:lpstr>
      <vt:lpstr>IncomeStatement</vt:lpstr>
      <vt:lpstr>BalanceSheet</vt:lpstr>
      <vt:lpstr>CashFlow</vt:lpstr>
      <vt:lpstr>DCF</vt:lpstr>
      <vt:lpstr>Comps</vt:lpstr>
      <vt:lpstr>SegmentRevenue</vt:lpstr>
      <vt:lpstr>Earnings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Gurdev Singh</cp:lastModifiedBy>
  <dcterms:created xsi:type="dcterms:W3CDTF">2026-07-19T05:51:10Z</dcterms:created>
  <dcterms:modified xsi:type="dcterms:W3CDTF">2026-07-19T15:38:28Z</dcterms:modified>
</cp:coreProperties>
</file>